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EV Sales by Maker" sheetId="2" r:id="rId5"/>
    <sheet state="visible" name="EV Sales by State" sheetId="3" r:id="rId6"/>
    <sheet state="visible" name="KPI" sheetId="4" r:id="rId7"/>
    <sheet state="visible" name="KPI 2" sheetId="5" r:id="rId8"/>
    <sheet state="visible" name="Primary Q 1" sheetId="6" r:id="rId9"/>
    <sheet state="visible" name="Q 2" sheetId="7" r:id="rId10"/>
    <sheet state="visible" name="Q3" sheetId="8" r:id="rId11"/>
    <sheet state="visible" name="Q 4" sheetId="9" r:id="rId12"/>
    <sheet state="visible" name="Q 5" sheetId="10" r:id="rId13"/>
    <sheet state="visible" name="Q 6" sheetId="11" r:id="rId14"/>
    <sheet state="visible" name="Q 7" sheetId="12" r:id="rId15"/>
    <sheet state="visible" name="Q 8" sheetId="13" r:id="rId16"/>
    <sheet state="visible" name="Q 9" sheetId="14" r:id="rId17"/>
    <sheet state="visible" name="Q 10" sheetId="15" r:id="rId18"/>
    <sheet state="visible" name="Secondary Analysis" sheetId="16" r:id="rId19"/>
  </sheets>
  <definedNames>
    <definedName name="Slicer_vehicle_category">#REF!</definedName>
    <definedName name="Slicer_fiscal_year">#REF!</definedName>
  </definedNames>
  <calcPr/>
</workbook>
</file>

<file path=xl/sharedStrings.xml><?xml version="1.0" encoding="utf-8"?>
<sst xmlns="http://schemas.openxmlformats.org/spreadsheetml/2006/main" count="442" uniqueCount="144">
  <si>
    <t xml:space="preserve"> </t>
  </si>
  <si>
    <t>KPI</t>
  </si>
  <si>
    <t>EV Sold</t>
  </si>
  <si>
    <t>vehicle_category</t>
  </si>
  <si>
    <t>All</t>
  </si>
  <si>
    <t>Filters</t>
  </si>
  <si>
    <t>Category</t>
  </si>
  <si>
    <t>CAGR</t>
  </si>
  <si>
    <t>Sum of electric_vehicles_sold</t>
  </si>
  <si>
    <t>revenue</t>
  </si>
  <si>
    <t>total_makers</t>
  </si>
  <si>
    <t>cagr_makers</t>
  </si>
  <si>
    <t>Values</t>
  </si>
  <si>
    <t>AMPERE</t>
  </si>
  <si>
    <t>Maker</t>
  </si>
  <si>
    <t>ev_sold_makers</t>
  </si>
  <si>
    <t>2-Wheelers</t>
  </si>
  <si>
    <t>2 Wheelers</t>
  </si>
  <si>
    <t>ATHER</t>
  </si>
  <si>
    <t>2021</t>
  </si>
  <si>
    <t>4-Wheelers</t>
  </si>
  <si>
    <t>4 Wheelers</t>
  </si>
  <si>
    <t>BAJAJ</t>
  </si>
  <si>
    <t>Apr</t>
  </si>
  <si>
    <t>Grand Total</t>
  </si>
  <si>
    <t>BEING</t>
  </si>
  <si>
    <t>May</t>
  </si>
  <si>
    <t>BMW India</t>
  </si>
  <si>
    <t>Jun</t>
  </si>
  <si>
    <t>BYD India</t>
  </si>
  <si>
    <t>Jul</t>
  </si>
  <si>
    <t>HERO ELECTRIC</t>
  </si>
  <si>
    <t>Aug</t>
  </si>
  <si>
    <t>Hyundai Motor</t>
  </si>
  <si>
    <t>Sep</t>
  </si>
  <si>
    <t>JITENDRA</t>
  </si>
  <si>
    <t>Oct</t>
  </si>
  <si>
    <t>Mahindra &amp; Mahindra</t>
  </si>
  <si>
    <t>Nov</t>
  </si>
  <si>
    <t>Mercedes -Benz AG</t>
  </si>
  <si>
    <t>Dec</t>
  </si>
  <si>
    <t>MG Motor</t>
  </si>
  <si>
    <t>2022</t>
  </si>
  <si>
    <t>OKINAWA</t>
  </si>
  <si>
    <t>Jan</t>
  </si>
  <si>
    <t>OLA ELECTRIC</t>
  </si>
  <si>
    <t>Feb</t>
  </si>
  <si>
    <t>OTHERS</t>
  </si>
  <si>
    <t>Mar</t>
  </si>
  <si>
    <t>PURE EV</t>
  </si>
  <si>
    <t>REVOLT</t>
  </si>
  <si>
    <t>Tata Motors</t>
  </si>
  <si>
    <t>TVS</t>
  </si>
  <si>
    <t>Volvo Auto India</t>
  </si>
  <si>
    <t>2023</t>
  </si>
  <si>
    <t>2024</t>
  </si>
  <si>
    <t>state</t>
  </si>
  <si>
    <t>2-Wheelers 2022 vs 2024</t>
  </si>
  <si>
    <t>4-Wheelers 2022 vs 2024</t>
  </si>
  <si>
    <t>2-Wheelers 2023 vs 2024</t>
  </si>
  <si>
    <t>4-Wheelers 2023 vs 2024</t>
  </si>
  <si>
    <t>public_charging_stations_state</t>
  </si>
  <si>
    <t>Total_states</t>
  </si>
  <si>
    <t>cagr_state</t>
  </si>
  <si>
    <t>fiscal_year</t>
  </si>
  <si>
    <t>Total Vehicle Sold</t>
  </si>
  <si>
    <t>penetration_rate</t>
  </si>
  <si>
    <t>Andaman &amp; Nicobar Island</t>
  </si>
  <si>
    <t>Andhra Pradesh</t>
  </si>
  <si>
    <t>States</t>
  </si>
  <si>
    <t>Projected EV Sales 2030</t>
  </si>
  <si>
    <t>Assam</t>
  </si>
  <si>
    <t>Gujarat</t>
  </si>
  <si>
    <t>Bihar</t>
  </si>
  <si>
    <t>Karnataka</t>
  </si>
  <si>
    <t>Chandigarh</t>
  </si>
  <si>
    <t>Kerala</t>
  </si>
  <si>
    <t>Chhattisgarh</t>
  </si>
  <si>
    <t>Maharashtra</t>
  </si>
  <si>
    <t>Delhi</t>
  </si>
  <si>
    <t>Odisha</t>
  </si>
  <si>
    <t>DNH and DD</t>
  </si>
  <si>
    <t>Rajasthan</t>
  </si>
  <si>
    <t>Goa</t>
  </si>
  <si>
    <t>Madhya Pradesh</t>
  </si>
  <si>
    <t>Haryana</t>
  </si>
  <si>
    <t>Uttar Pradesh</t>
  </si>
  <si>
    <t>Himachal Pradesh</t>
  </si>
  <si>
    <t>West Bengal</t>
  </si>
  <si>
    <t>Jammu and Kashmir</t>
  </si>
  <si>
    <t>Jharkhand</t>
  </si>
  <si>
    <t>Ladakh</t>
  </si>
  <si>
    <t>Manipur</t>
  </si>
  <si>
    <t>Meghalaya</t>
  </si>
  <si>
    <t>Nagaland</t>
  </si>
  <si>
    <t>Puducherry</t>
  </si>
  <si>
    <t>Punjab</t>
  </si>
  <si>
    <t>Tamil Nadu</t>
  </si>
  <si>
    <t>Tripura</t>
  </si>
  <si>
    <t>Uttarakhand</t>
  </si>
  <si>
    <t>1. List the top 3 and bottom 3 makers for the fiscal years 2023 and 2024 in terms of the number of 2-wheelers sold.</t>
  </si>
  <si>
    <t>Top 3 Makers by FY 2023</t>
  </si>
  <si>
    <t>Top 3 Makers by FY 2024</t>
  </si>
  <si>
    <t>Electric Vehicles Sold</t>
  </si>
  <si>
    <t>Bottom 3 Makers by FY 2023</t>
  </si>
  <si>
    <t>Bottom 3 Makers by FY 2024</t>
  </si>
  <si>
    <t>BATTRE ELECTRIC</t>
  </si>
  <si>
    <t>KINETIC GREEN</t>
  </si>
  <si>
    <t>2. Identify the top 5 states with the highest penetration rate in 2-wheeler and 4-wheeler EV sales in FY 2024.</t>
  </si>
  <si>
    <t>3. List the states with negative penetration (decline) in EV sales from 2022 to 2024?</t>
  </si>
  <si>
    <t>Negative Penetration 24 vs 23</t>
  </si>
  <si>
    <t>Negative Penetration 23 vs 22</t>
  </si>
  <si>
    <t>4. What are the quarterly trends based on sales volume for the top 5 EV makers (4-wheelers) from 2022 to 2024?</t>
  </si>
  <si>
    <t>Column Labels</t>
  </si>
  <si>
    <t>Q1</t>
  </si>
  <si>
    <t>Q2</t>
  </si>
  <si>
    <t>Q3</t>
  </si>
  <si>
    <t>Q4</t>
  </si>
  <si>
    <t>5. How do the EV sales and penetration rates in Delhi compare to Karnataka for 2024?</t>
  </si>
  <si>
    <t>Fiscal Year</t>
  </si>
  <si>
    <t>6. List down the compounded annual growth rate (CAGR) in 4-wheeler units for the top 5 makers from 2022 to 2024.</t>
  </si>
  <si>
    <t>7. List down the top 10 states that had the highest compounded annual growth rate (CAGR) from 2022 to 2024 in total vehicles sold.</t>
  </si>
  <si>
    <t>8. What are the peak and low season months for EV sales based on the data from 2022 to 2024?</t>
  </si>
  <si>
    <t>9. What is the projected number of EV sales (including 2-wheelers and 4- wheelers) for the top 10 states by penetration rate in 2030,</t>
  </si>
  <si>
    <t xml:space="preserve"> based on the compounded annual growth rate (CAGR) from previous years?</t>
  </si>
  <si>
    <t>Penetration Rate</t>
  </si>
  <si>
    <t>EV Sold 2022</t>
  </si>
  <si>
    <t>EV Sold 2023</t>
  </si>
  <si>
    <t>EV sold 2024</t>
  </si>
  <si>
    <t>10. Estimate the revenue growth rate of 4-wheeler and 2-wheelers EVs in India for 2022 vs 2024 and 2023 vs 2024, assuming an average unit price. H</t>
  </si>
  <si>
    <t>growth_rate_2w_22vs24</t>
  </si>
  <si>
    <t>growth_rate_2w_23vs24</t>
  </si>
  <si>
    <t>growth_rate_4w_23vs24</t>
  </si>
  <si>
    <t>growth_rate_4w_22vs24</t>
  </si>
  <si>
    <t>Arunachal Pradesh</t>
  </si>
  <si>
    <t>Mizoram</t>
  </si>
  <si>
    <t>Sikkim</t>
  </si>
  <si>
    <t>1. What are the primary reasons for customers choosing 4-wheeler EVs in 2023 and 2024 (cost savings, environmental concerns, government incentives)?</t>
  </si>
  <si>
    <t>cost saving</t>
  </si>
  <si>
    <t>enviornmental concerns</t>
  </si>
  <si>
    <t>government incentives</t>
  </si>
  <si>
    <t>3. How does the availability of charging stations infrastructure correlate with the EV sales and penetration rates in the top 5 states?</t>
  </si>
  <si>
    <t>State</t>
  </si>
  <si>
    <t>Correlation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</si>
</sst>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.0%;\-0.0%;0.0%"/>
    <numFmt numFmtId="165" formatCode="0.00,,&quot;M&quot;"/>
    <numFmt numFmtId="166" formatCode="0.0,,,&quot;B&quot;"/>
    <numFmt numFmtId="167" formatCode="0.0,&quot;K&quot;"/>
    <numFmt numFmtId="168" formatCode="0%;\-0%;0%"/>
    <numFmt numFmtId="169" formatCode="0.00%;\-0.00%;0.00%"/>
    <numFmt numFmtId="170" formatCode="0.0,,&quot;M&quot;"/>
    <numFmt numFmtId="171" formatCode="0.0%"/>
    <numFmt numFmtId="172" formatCode="0.00,&quot;K&quot;"/>
  </numFmts>
  <fonts count="7">
    <font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theme="1"/>
      <name val="Avenir"/>
    </font>
    <font>
      <b/>
      <sz val="11.0"/>
      <color rgb="FF548135"/>
      <name val="Avenir"/>
    </font>
    <font>
      <b/>
      <sz val="11.0"/>
      <color theme="1"/>
      <name val="Aveni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0" fillId="0" fontId="2" numFmtId="0" xfId="0" applyFont="1"/>
    <xf borderId="1" fillId="0" fontId="3" numFmtId="0" xfId="0" applyAlignment="1" applyBorder="1" applyFont="1">
      <alignment horizontal="left"/>
    </xf>
    <xf borderId="0" fillId="0" fontId="3" numFmtId="0" xfId="0" applyFont="1"/>
    <xf borderId="0" fillId="0" fontId="2" numFmtId="0" xfId="0" applyAlignment="1" applyFont="1">
      <alignment horizontal="left"/>
    </xf>
    <xf borderId="0" fillId="0" fontId="2" numFmtId="164" xfId="0" applyFont="1" applyNumberFormat="1"/>
    <xf borderId="2" fillId="0" fontId="3" numFmtId="0" xfId="0" applyAlignment="1" applyBorder="1" applyFont="1">
      <alignment horizontal="center"/>
    </xf>
    <xf borderId="0" fillId="0" fontId="2" numFmtId="165" xfId="0" applyFont="1" applyNumberFormat="1"/>
    <xf borderId="0" fillId="0" fontId="2" numFmtId="166" xfId="0" applyFont="1" applyNumberFormat="1"/>
    <xf borderId="0" fillId="0" fontId="3" numFmtId="0" xfId="0" applyAlignment="1" applyFont="1">
      <alignment horizontal="left"/>
    </xf>
    <xf borderId="0" fillId="0" fontId="3" numFmtId="167" xfId="0" applyFont="1" applyNumberFormat="1"/>
    <xf borderId="1" fillId="0" fontId="3" numFmtId="167" xfId="0" applyBorder="1" applyFont="1" applyNumberFormat="1"/>
    <xf borderId="2" fillId="0" fontId="3" numFmtId="0" xfId="0" applyBorder="1" applyFont="1"/>
    <xf borderId="0" fillId="0" fontId="2" numFmtId="168" xfId="0" applyFont="1" applyNumberFormat="1"/>
    <xf borderId="1" fillId="0" fontId="3" numFmtId="0" xfId="0" applyBorder="1" applyFont="1"/>
    <xf borderId="0" fillId="0" fontId="2" numFmtId="169" xfId="0" applyFont="1" applyNumberFormat="1"/>
    <xf borderId="0" fillId="0" fontId="3" numFmtId="0" xfId="0" applyAlignment="1" applyFont="1">
      <alignment horizontal="center"/>
    </xf>
    <xf borderId="0" fillId="0" fontId="3" numFmtId="170" xfId="0" applyFont="1" applyNumberFormat="1"/>
    <xf borderId="1" fillId="0" fontId="3" numFmtId="170" xfId="0" applyBorder="1" applyFont="1" applyNumberFormat="1"/>
    <xf borderId="0" fillId="0" fontId="4" numFmtId="0" xfId="0" applyFont="1"/>
    <xf borderId="2" fillId="0" fontId="5" numFmtId="0" xfId="0" applyBorder="1" applyFont="1"/>
    <xf borderId="0" fillId="0" fontId="3" numFmtId="171" xfId="0" applyFont="1" applyNumberFormat="1"/>
    <xf borderId="1" fillId="0" fontId="3" numFmtId="171" xfId="0" applyBorder="1" applyFont="1" applyNumberFormat="1"/>
    <xf borderId="0" fillId="0" fontId="3" numFmtId="4" xfId="0" applyFont="1" applyNumberFormat="1"/>
    <xf borderId="1" fillId="0" fontId="3" numFmtId="4" xfId="0" applyBorder="1" applyFont="1" applyNumberFormat="1"/>
    <xf borderId="3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0" fillId="0" fontId="3" numFmtId="172" xfId="0" applyFont="1" applyNumberFormat="1"/>
    <xf borderId="1" fillId="0" fontId="3" numFmtId="172" xfId="0" applyBorder="1" applyFont="1" applyNumberFormat="1"/>
    <xf borderId="0" fillId="0" fontId="3" numFmtId="9" xfId="0" applyFont="1" applyNumberFormat="1"/>
    <xf borderId="0" fillId="0" fontId="3" numFmtId="168" xfId="0" applyFont="1" applyNumberFormat="1"/>
    <xf borderId="1" fillId="0" fontId="3" numFmtId="9" xfId="0" applyBorder="1" applyFont="1" applyNumberFormat="1"/>
    <xf borderId="1" fillId="0" fontId="3" numFmtId="168" xfId="0" applyBorder="1" applyFont="1" applyNumberFormat="1"/>
    <xf borderId="0" fillId="0" fontId="3" numFmtId="169" xfId="0" applyFont="1" applyNumberFormat="1"/>
    <xf borderId="1" fillId="0" fontId="3" numFmtId="169" xfId="0" applyBorder="1" applyFont="1" applyNumberFormat="1"/>
    <xf borderId="0" fillId="0" fontId="6" numFmtId="0" xfId="0" applyAlignment="1" applyFont="1">
      <alignment horizontal="center"/>
    </xf>
    <xf borderId="0" fillId="0" fontId="2" numFmtId="17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 Sold Vehicle Category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KPI!$M$8</c:f>
            </c:strRef>
          </c:tx>
          <c:dPt>
            <c:idx val="0"/>
            <c:spPr>
              <a:solidFill>
                <a:schemeClr val="accent6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KPI!$L$9:$L$11</c:f>
            </c:strRef>
          </c:cat>
          <c:val>
            <c:numRef>
              <c:f>KPI!$M$9:$M$11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5"/>
      </c:doughnutChart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vehicle Category 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KPI!$AW$8</c:f>
            </c:strRef>
          </c:tx>
          <c:dPt>
            <c:idx val="0"/>
            <c:spPr>
              <a:solidFill>
                <a:schemeClr val="accent6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800">
                      <a:solidFill>
                        <a:srgbClr val="46BDC6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800">
                      <a:solidFill>
                        <a:srgbClr val="46BDC6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KPI!$AV$9:$AV$10</c:f>
            </c:strRef>
          </c:cat>
          <c:val>
            <c:numRef>
              <c:f>KPI!$AW$9:$AW$10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5"/>
      </c:doughnutChart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CAGR by Makers
</a:t>
            </a:r>
          </a:p>
        </c:rich>
      </c:tx>
      <c:overlay val="0"/>
    </c:title>
    <c:plotArea>
      <c:layout>
        <c:manualLayout>
          <c:xMode val="edge"/>
          <c:yMode val="edge"/>
          <c:x val="0.26291627843179916"/>
          <c:y val="0.1032559274814012"/>
          <c:w val="0.5119491203425611"/>
          <c:h val="0.848954291278886"/>
        </c:manualLayout>
      </c:layout>
      <c:barChart>
        <c:barDir val="bar"/>
        <c:ser>
          <c:idx val="0"/>
          <c:order val="0"/>
          <c:tx>
            <c:v>Total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KPI!$BE$8:$BE$28</c:f>
            </c:strRef>
          </c:cat>
          <c:val>
            <c:numRef>
              <c:f>KPI!$BF$8:$BF$28</c:f>
              <c:numCache/>
            </c:numRef>
          </c:val>
        </c:ser>
        <c:axId val="1561463462"/>
        <c:axId val="1472775898"/>
      </c:barChart>
      <c:catAx>
        <c:axId val="15614634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72775898"/>
      </c:catAx>
      <c:valAx>
        <c:axId val="147277589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61463462"/>
        <c:crosses val="max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 Sold by Month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Total</c:v>
          </c:tx>
          <c:spPr>
            <a:ln cmpd="sng" w="38100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KPI!$BR$9:$BR$48</c:f>
            </c:strRef>
          </c:cat>
          <c:val>
            <c:numRef>
              <c:f>KPI!$BS$9:$BS$48</c:f>
              <c:numCache/>
            </c:numRef>
          </c:val>
          <c:smooth val="0"/>
        </c:ser>
        <c:axId val="1716170235"/>
        <c:axId val="1425070102"/>
      </c:lineChart>
      <c:catAx>
        <c:axId val="17161702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 rot="0"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25070102"/>
      </c:catAx>
      <c:valAx>
        <c:axId val="14250701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16170235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3395135986969236"/>
          <c:y val="0.027416613684159045"/>
          <c:w val="0.567434128340196"/>
          <c:h val="0.9100839976524674"/>
        </c:manualLayout>
      </c:layout>
      <c:barChart>
        <c:barDir val="bar"/>
        <c:grouping val="stacked"/>
        <c:ser>
          <c:idx val="0"/>
          <c:order val="0"/>
          <c:tx>
            <c:v>Total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7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'KPI 2'!$AG$13:$AG$44</c:f>
            </c:strRef>
          </c:cat>
          <c:val>
            <c:numRef>
              <c:f>'KPI 2'!$AH$13:$AH$44</c:f>
              <c:numCache/>
            </c:numRef>
          </c:val>
        </c:ser>
        <c:overlap val="100"/>
        <c:axId val="1412568416"/>
        <c:axId val="383416244"/>
      </c:barChart>
      <c:catAx>
        <c:axId val="14125684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600">
                <a:solidFill>
                  <a:srgbClr val="000000"/>
                </a:solidFill>
                <a:latin typeface="+mn-lt"/>
              </a:defRPr>
            </a:pPr>
          </a:p>
        </c:txPr>
        <c:crossAx val="383416244"/>
      </c:catAx>
      <c:valAx>
        <c:axId val="38341624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412568416"/>
        <c:crosses val="max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Prediction for 2030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'KPI 2'!$BJ$15:$BJ$24</c:f>
            </c:strRef>
          </c:cat>
          <c:val>
            <c:numRef>
              <c:f>'KPI 2'!$BK$15:$BK$24</c:f>
              <c:numCache/>
            </c:numRef>
          </c:val>
        </c:ser>
        <c:axId val="1554314634"/>
        <c:axId val="759509113"/>
      </c:barChart>
      <c:catAx>
        <c:axId val="15543146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59509113"/>
      </c:catAx>
      <c:valAx>
        <c:axId val="7595091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1554314634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'KPI 2'!$DA$9</c:f>
            </c:strRef>
          </c:tx>
          <c:dPt>
            <c:idx val="0"/>
            <c:spPr>
              <a:solidFill>
                <a:schemeClr val="accent6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Pt>
            <c:idx val="2"/>
            <c:spPr>
              <a:solidFill>
                <a:schemeClr val="accent6"/>
              </a:solidFill>
            </c:spPr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[CATEGORY NAME], 2.07M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[CATEGORY NAME], 57.22M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'KPI 2'!$CZ$10:$CZ$12</c:f>
            </c:strRef>
          </c:cat>
          <c:val>
            <c:numRef>
              <c:f>'KPI 2'!$DA$10:$DA$12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5"/>
      </c:doughnutChart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4690960336883188"/>
          <c:y val="0.0798385402814683"/>
          <c:w val="0.5691239777305417"/>
          <c:h val="0.866175962021505"/>
        </c:manualLayout>
      </c:layout>
      <c:barChart>
        <c:barDir val="col"/>
        <c:ser>
          <c:idx val="0"/>
          <c:order val="0"/>
          <c:tx>
            <c:v>2-Wheelers 2022 vs 2024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46BDC6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'KPI 2'!$DE$10</c:f>
            </c:strRef>
          </c:cat>
          <c:val>
            <c:numRef>
              <c:f>'KPI 2'!$DE$10</c:f>
              <c:numCache/>
            </c:numRef>
          </c:val>
        </c:ser>
        <c:ser>
          <c:idx val="1"/>
          <c:order val="1"/>
          <c:tx>
            <c:v>4-Wheelers 2022 vs 2024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46BDC6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'KPI 2'!$DE$10</c:f>
            </c:strRef>
          </c:cat>
          <c:val>
            <c:numRef>
              <c:f>'KPI 2'!$DF$10</c:f>
              <c:numCache/>
            </c:numRef>
          </c:val>
        </c:ser>
        <c:ser>
          <c:idx val="2"/>
          <c:order val="2"/>
          <c:tx>
            <c:v>2-Wheelers 2023 vs 2024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46BDC6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'KPI 2'!$DE$10</c:f>
            </c:strRef>
          </c:cat>
          <c:val>
            <c:numRef>
              <c:f>'KPI 2'!$DG$10</c:f>
              <c:numCache/>
            </c:numRef>
          </c:val>
        </c:ser>
        <c:ser>
          <c:idx val="3"/>
          <c:order val="3"/>
          <c:tx>
            <c:v>4-Wheelers 2023 vs 2024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46BDC6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'KPI 2'!$DE$10</c:f>
            </c:strRef>
          </c:cat>
          <c:val>
            <c:numRef>
              <c:f>'KPI 2'!$DH$10</c:f>
              <c:numCache/>
            </c:numRef>
          </c:val>
        </c:ser>
        <c:axId val="946898022"/>
        <c:axId val="1373991185"/>
      </c:barChart>
      <c:catAx>
        <c:axId val="9468980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3991185"/>
      </c:catAx>
      <c:valAx>
        <c:axId val="13739911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600">
                <a:solidFill>
                  <a:srgbClr val="000000"/>
                </a:solidFill>
                <a:latin typeface="+mn-lt"/>
              </a:defRPr>
            </a:pPr>
          </a:p>
        </c:txPr>
        <c:crossAx val="946898022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KPI!$M$8</c:f>
            </c:strRef>
          </c:tx>
          <c:dPt>
            <c:idx val="0"/>
            <c:spPr>
              <a:solidFill>
                <a:schemeClr val="accent6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dLbl>
              <c:idx val="1"/>
              <c:txPr>
                <a:bodyPr/>
                <a:lstStyle/>
                <a:p>
                  <a:pPr lvl="0">
                    <a:defRPr b="0" i="0" sz="900">
                      <a:solidFill>
                        <a:srgbClr val="000000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KPI!$L$9:$L$11</c:f>
            </c:strRef>
          </c:cat>
          <c:val>
            <c:numRef>
              <c:f>KPI!$M$9:$M$11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5"/>
      </c:doughnutChart>
    </c:plotArea>
    <c:legend>
      <c:legendPos val="r"/>
      <c:layout>
        <c:manualLayout>
          <c:xMode val="edge"/>
          <c:yMode val="edge"/>
          <c:x val="0.6575502244668912"/>
          <c:y val="0.42717637908102174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KPI!$AW$8</c:f>
            </c:strRef>
          </c:tx>
          <c:dPt>
            <c:idx val="0"/>
            <c:spPr>
              <a:solidFill>
                <a:schemeClr val="accent6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46BDC6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46BDC6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KPI!$AV$9:$AV$10</c:f>
            </c:strRef>
          </c:cat>
          <c:val>
            <c:numRef>
              <c:f>KPI!$AW$9:$AW$10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5"/>
      </c:doughnutChart>
    </c:plotArea>
    <c:legend>
      <c:legendPos val="r"/>
      <c:layout>
        <c:manualLayout>
          <c:xMode val="edge"/>
          <c:yMode val="edge"/>
          <c:x val="0.7613607329178642"/>
          <c:y val="0.4344797731068519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6291627843179916"/>
          <c:y val="0.1032559274814012"/>
          <c:w val="0.5119491203425611"/>
          <c:h val="0.848954291278886"/>
        </c:manualLayout>
      </c:layout>
      <c:barChart>
        <c:barDir val="bar"/>
        <c:ser>
          <c:idx val="0"/>
          <c:order val="0"/>
          <c:tx>
            <c:v>Total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KPI!$BE$8:$BE$28</c:f>
            </c:strRef>
          </c:cat>
          <c:val>
            <c:numRef>
              <c:f>KPI!$BF$8:$BF$28</c:f>
              <c:numCache/>
            </c:numRef>
          </c:val>
        </c:ser>
        <c:axId val="1388175809"/>
        <c:axId val="382342831"/>
      </c:barChart>
      <c:catAx>
        <c:axId val="138817580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82342831"/>
      </c:catAx>
      <c:valAx>
        <c:axId val="3823428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88175809"/>
        <c:crosses val="max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Total</c:v>
          </c:tx>
          <c:spPr>
            <a:ln cmpd="sng" w="38100">
              <a:solidFill>
                <a:schemeClr val="accent6"/>
              </a:solidFill>
            </a:ln>
          </c:spPr>
          <c:marker>
            <c:symbol val="circle"/>
            <c:size val="8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cat>
            <c:strRef>
              <c:f>KPI!$BR$9:$BR$48</c:f>
            </c:strRef>
          </c:cat>
          <c:val>
            <c:numRef>
              <c:f>KPI!$BS$9:$BS$48</c:f>
              <c:numCache/>
            </c:numRef>
          </c:val>
          <c:smooth val="0"/>
        </c:ser>
        <c:axId val="1223904472"/>
        <c:axId val="1976812630"/>
      </c:lineChart>
      <c:catAx>
        <c:axId val="1223904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76812630"/>
      </c:catAx>
      <c:valAx>
        <c:axId val="19768126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23904472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3395135986969236"/>
          <c:y val="0.027416613684159045"/>
          <c:w val="0.567434128340196"/>
          <c:h val="0.9100839976524674"/>
        </c:manualLayout>
      </c:layout>
      <c:barChart>
        <c:barDir val="bar"/>
        <c:grouping val="stacked"/>
        <c:ser>
          <c:idx val="0"/>
          <c:order val="0"/>
          <c:tx>
            <c:v>Total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'KPI 2'!$AG$13:$AG$44</c:f>
            </c:strRef>
          </c:cat>
          <c:val>
            <c:numRef>
              <c:f>'KPI 2'!$AH$13:$AH$44</c:f>
              <c:numCache/>
            </c:numRef>
          </c:val>
        </c:ser>
        <c:overlap val="100"/>
        <c:axId val="491380727"/>
        <c:axId val="1471004254"/>
      </c:barChart>
      <c:catAx>
        <c:axId val="49138072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71004254"/>
      </c:catAx>
      <c:valAx>
        <c:axId val="14710042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491380727"/>
        <c:crosses val="max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'KPI 2'!$BJ$15:$BJ$24</c:f>
            </c:strRef>
          </c:cat>
          <c:val>
            <c:numRef>
              <c:f>'KPI 2'!$BK$15:$BK$24</c:f>
              <c:numCache/>
            </c:numRef>
          </c:val>
        </c:ser>
        <c:axId val="649984697"/>
        <c:axId val="1378268602"/>
      </c:barChart>
      <c:catAx>
        <c:axId val="6499846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78268602"/>
      </c:catAx>
      <c:valAx>
        <c:axId val="13782686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49984697"/>
      </c:valAx>
    </c:plotArea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'KPI 2'!$DA$9</c:f>
            </c:strRef>
          </c:tx>
          <c:dPt>
            <c:idx val="0"/>
            <c:spPr>
              <a:solidFill>
                <a:schemeClr val="accent6"/>
              </a:solidFill>
            </c:spPr>
          </c:dPt>
          <c:dPt>
            <c:idx val="1"/>
            <c:spPr>
              <a:solidFill>
                <a:schemeClr val="accent6"/>
              </a:solidFill>
            </c:spPr>
          </c:dPt>
          <c:dPt>
            <c:idx val="2"/>
            <c:spPr>
              <a:solidFill>
                <a:schemeClr val="accent6"/>
              </a:solidFill>
            </c:spPr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0" i="0" sz="90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 i="0" sz="900">
                        <a:solidFill>
                          <a:srgbClr val="000000"/>
                        </a:solidFill>
                        <a:latin typeface="+mn-lt"/>
                      </a:rPr>
                      <a:t>[CATEGORY NAME], 2.07M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[CATEGORY NAME], 57.22M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'KPI 2'!$CZ$10:$CZ$12</c:f>
            </c:strRef>
          </c:cat>
          <c:val>
            <c:numRef>
              <c:f>'KPI 2'!$DA$10:$DA$12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65"/>
      </c:doughnutChart>
    </c:plotArea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2-Wheelers 2022 vs 2024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'KPI 2'!$DE$10</c:f>
            </c:strRef>
          </c:cat>
          <c:val>
            <c:numRef>
              <c:f>'KPI 2'!$DE$10</c:f>
              <c:numCache/>
            </c:numRef>
          </c:val>
        </c:ser>
        <c:ser>
          <c:idx val="1"/>
          <c:order val="1"/>
          <c:tx>
            <c:v>4-Wheelers 2022 vs 2024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'KPI 2'!$DE$10</c:f>
            </c:strRef>
          </c:cat>
          <c:val>
            <c:numRef>
              <c:f>'KPI 2'!$DF$10</c:f>
              <c:numCache/>
            </c:numRef>
          </c:val>
        </c:ser>
        <c:ser>
          <c:idx val="2"/>
          <c:order val="2"/>
          <c:tx>
            <c:v>2-Wheelers 2023 vs 2024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'KPI 2'!$DE$10</c:f>
            </c:strRef>
          </c:cat>
          <c:val>
            <c:numRef>
              <c:f>'KPI 2'!$DG$10</c:f>
              <c:numCache/>
            </c:numRef>
          </c:val>
        </c:ser>
        <c:ser>
          <c:idx val="3"/>
          <c:order val="3"/>
          <c:tx>
            <c:v>4-Wheelers 2023 vs 2024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'KPI 2'!$DE$10</c:f>
            </c:strRef>
          </c:cat>
          <c:val>
            <c:numRef>
              <c:f>'KPI 2'!$DH$10</c:f>
              <c:numCache/>
            </c:numRef>
          </c:val>
        </c:ser>
        <c:axId val="1542906974"/>
        <c:axId val="48990084"/>
      </c:barChart>
      <c:catAx>
        <c:axId val="1542906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8990084"/>
      </c:catAx>
      <c:valAx>
        <c:axId val="489900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42906974"/>
      </c:valAx>
    </c:plotArea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2-Wheelers 2022 vs 2024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'KPI 2'!$DE$10</c:f>
            </c:strRef>
          </c:cat>
          <c:val>
            <c:numRef>
              <c:f>'KPI 2'!$DE$10</c:f>
              <c:numCache/>
            </c:numRef>
          </c:val>
        </c:ser>
        <c:ser>
          <c:idx val="1"/>
          <c:order val="1"/>
          <c:tx>
            <c:v>4-Wheelers 2022 vs 2024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'KPI 2'!$DE$10</c:f>
            </c:strRef>
          </c:cat>
          <c:val>
            <c:numRef>
              <c:f>'KPI 2'!$DF$10</c:f>
              <c:numCache/>
            </c:numRef>
          </c:val>
        </c:ser>
        <c:ser>
          <c:idx val="2"/>
          <c:order val="2"/>
          <c:tx>
            <c:v>2-Wheelers 2023 vs 2024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'KPI 2'!$DE$10</c:f>
            </c:strRef>
          </c:cat>
          <c:val>
            <c:numRef>
              <c:f>'KPI 2'!$DG$10</c:f>
              <c:numCache/>
            </c:numRef>
          </c:val>
        </c:ser>
        <c:ser>
          <c:idx val="3"/>
          <c:order val="3"/>
          <c:tx>
            <c:v>4-Wheelers 2023 vs 2024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'KPI 2'!$DE$10</c:f>
            </c:strRef>
          </c:cat>
          <c:val>
            <c:numRef>
              <c:f>'KPI 2'!$DH$10</c:f>
              <c:numCache/>
            </c:numRef>
          </c:val>
        </c:ser>
        <c:axId val="1366231305"/>
        <c:axId val="341490784"/>
      </c:barChart>
      <c:catAx>
        <c:axId val="13662313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341490784"/>
      </c:catAx>
      <c:valAx>
        <c:axId val="3414907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6231305"/>
      </c:valAx>
    </c:plotArea>
    <c:plotVisOnly val="1"/>
  </c:chart>
  <c:spPr>
    <a:solidFill>
      <a:schemeClr val="dk1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'Primary Q 1'!$A$13:$A$15</c:f>
            </c:strRef>
          </c:cat>
          <c:val>
            <c:numRef>
              <c:f>'Primary Q 1'!$B$13:$B$15</c:f>
              <c:numCache/>
            </c:numRef>
          </c:val>
        </c:ser>
        <c:axId val="462364058"/>
        <c:axId val="1309641128"/>
      </c:barChart>
      <c:catAx>
        <c:axId val="4623640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09641128"/>
      </c:catAx>
      <c:valAx>
        <c:axId val="13096411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62364058"/>
      </c:valAx>
    </c:plotArea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'Primary Q 1'!$E$13:$E$15</c:f>
            </c:strRef>
          </c:cat>
          <c:val>
            <c:numRef>
              <c:f>'Primary Q 1'!$F$13:$F$15</c:f>
              <c:numCache/>
            </c:numRef>
          </c:val>
        </c:ser>
        <c:axId val="1576769582"/>
        <c:axId val="997875448"/>
      </c:barChart>
      <c:catAx>
        <c:axId val="15767695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97875448"/>
      </c:catAx>
      <c:valAx>
        <c:axId val="9978754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76769582"/>
      </c:valAx>
    </c:plotArea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'Primary Q 1'!$A$26:$A$28</c:f>
            </c:strRef>
          </c:cat>
          <c:val>
            <c:numRef>
              <c:f>'Primary Q 1'!$B$26:$B$28</c:f>
              <c:numCache/>
            </c:numRef>
          </c:val>
        </c:ser>
        <c:axId val="2033614753"/>
        <c:axId val="1772700292"/>
      </c:barChart>
      <c:catAx>
        <c:axId val="2033614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72700292"/>
      </c:catAx>
      <c:valAx>
        <c:axId val="17727002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33614753"/>
      </c:valAx>
    </c:plotArea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'Primary Q 1'!$E$26:$E$28</c:f>
            </c:strRef>
          </c:cat>
          <c:val>
            <c:numRef>
              <c:f>'Primary Q 1'!$F$26:$F$28</c:f>
              <c:numCache/>
            </c:numRef>
          </c:val>
        </c:ser>
        <c:axId val="227888875"/>
        <c:axId val="1702056687"/>
      </c:barChart>
      <c:catAx>
        <c:axId val="2278888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02056687"/>
      </c:catAx>
      <c:valAx>
        <c:axId val="17020566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27888875"/>
      </c:valAx>
    </c:plotArea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Delhi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 5'!$A$10:$A$12</c:f>
            </c:strRef>
          </c:cat>
          <c:val>
            <c:numRef>
              <c:f>'Q 5'!$B$10:$B$12</c:f>
              <c:numCache/>
            </c:numRef>
          </c:val>
        </c:ser>
        <c:ser>
          <c:idx val="1"/>
          <c:order val="1"/>
          <c:tx>
            <c:v>Karnataka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 5'!$A$10:$A$12</c:f>
            </c:strRef>
          </c:cat>
          <c:val>
            <c:numRef>
              <c:f>'Q 5'!$C$10:$C$12</c:f>
              <c:numCache/>
            </c:numRef>
          </c:val>
        </c:ser>
        <c:axId val="1396405122"/>
        <c:axId val="225850365"/>
      </c:barChart>
      <c:catAx>
        <c:axId val="13964051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25850365"/>
      </c:catAx>
      <c:valAx>
        <c:axId val="2258503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96405122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percentStacked"/>
        <c:ser>
          <c:idx val="0"/>
          <c:order val="0"/>
          <c:tx>
            <c:v>ev_sold_makers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 6'!$A$8:$A$12</c:f>
            </c:strRef>
          </c:cat>
          <c:val>
            <c:numRef>
              <c:f>'Q 6'!$B$8:$B$12</c:f>
              <c:numCache/>
            </c:numRef>
          </c:val>
        </c:ser>
        <c:ser>
          <c:idx val="1"/>
          <c:order val="1"/>
          <c:tx>
            <c:v>CAGR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 6'!$A$8:$A$12</c:f>
            </c:strRef>
          </c:cat>
          <c:val>
            <c:numRef>
              <c:f>'Q 6'!$C$8:$C$12</c:f>
              <c:numCache/>
            </c:numRef>
          </c:val>
        </c:ser>
        <c:overlap val="100"/>
        <c:axId val="1177232785"/>
        <c:axId val="75944857"/>
      </c:barChart>
      <c:catAx>
        <c:axId val="117723278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75944857"/>
      </c:catAx>
      <c:valAx>
        <c:axId val="759448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7232785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'Q 7'!$A$9:$A$18</c:f>
            </c:strRef>
          </c:cat>
          <c:val>
            <c:numRef>
              <c:f>'Q 7'!$B$9:$B$18</c:f>
              <c:numCache/>
            </c:numRef>
          </c:val>
        </c:ser>
        <c:axId val="216220976"/>
        <c:axId val="297209748"/>
      </c:barChart>
      <c:catAx>
        <c:axId val="216220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97209748"/>
      </c:catAx>
      <c:valAx>
        <c:axId val="2972097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216220976"/>
      </c:valAx>
    </c:plotArea>
    <c:plotVisOnly val="1"/>
  </c:chart>
  <c:spPr>
    <a:solidFill>
      <a:schemeClr val="dk1"/>
    </a:solidFill>
  </c:spPr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v>Total</c:v>
          </c:tx>
          <c:spPr>
            <a:ln cmpd="sng" w="19050">
              <a:solidFill>
                <a:schemeClr val="accent6"/>
              </a:solidFill>
            </a:ln>
          </c:spPr>
          <c:marker>
            <c:symbol val="circle"/>
            <c:size val="4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cat>
            <c:strRef>
              <c:f>'Q 8'!$A$8:$A$37</c:f>
            </c:strRef>
          </c:cat>
          <c:val>
            <c:numRef>
              <c:f>'Q 8'!$B$8:$B$37</c:f>
              <c:numCache/>
            </c:numRef>
          </c:val>
          <c:smooth val="0"/>
        </c:ser>
        <c:axId val="1170577570"/>
        <c:axId val="1480947976"/>
      </c:lineChart>
      <c:catAx>
        <c:axId val="11705775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480947976"/>
      </c:catAx>
      <c:valAx>
        <c:axId val="14809479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170577570"/>
      </c:valAx>
    </c:plotArea>
    <c:plotVisOnly val="1"/>
  </c:chart>
  <c:spPr>
    <a:solidFill>
      <a:schemeClr val="dk1"/>
    </a:solidFill>
  </c:spPr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'KPI 2'!$BJ$15:$BJ$24</c:f>
            </c:strRef>
          </c:cat>
          <c:val>
            <c:numRef>
              <c:f>'KPI 2'!$BK$15:$BK$24</c:f>
              <c:numCache/>
            </c:numRef>
          </c:val>
        </c:ser>
        <c:axId val="1860998064"/>
        <c:axId val="748887211"/>
      </c:barChart>
      <c:catAx>
        <c:axId val="1860998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48887211"/>
      </c:catAx>
      <c:valAx>
        <c:axId val="7488872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60998064"/>
      </c:valAx>
    </c:plotArea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public_charging_stations_state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xVal>
            <c:numRef>
              <c:f>'Secondary Analysis'!$B$29:$B$33</c:f>
            </c:numRef>
          </c:xVal>
          <c:yVal>
            <c:numRef>
              <c:f>'Secondary Analysis'!$C$29:$C$33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017460"/>
        <c:axId val="455852829"/>
      </c:scatterChart>
      <c:valAx>
        <c:axId val="888017460"/>
        <c:scaling>
          <c:orientation val="minMax"/>
          <c:min val="0.0600000000000000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455852829"/>
        <c:majorUnit val="0.005000000000000001"/>
      </c:valAx>
      <c:valAx>
        <c:axId val="4558528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888017460"/>
      </c:valAx>
    </c:plotArea>
    <c:plotVisOnly val="1"/>
  </c:chart>
  <c:spPr>
    <a:solidFill>
      <a:schemeClr val="dk1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5" Type="http://schemas.openxmlformats.org/officeDocument/2006/relationships/chart" Target="../charts/chart1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Relationship Id="rId3" Type="http://schemas.openxmlformats.org/officeDocument/2006/relationships/chart" Target="../charts/chart20.xml"/><Relationship Id="rId4" Type="http://schemas.openxmlformats.org/officeDocument/2006/relationships/chart" Target="../charts/chart21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267450" cy="342900"/>
    <xdr:sp>
      <xdr:nvSpPr>
        <xdr:cNvPr id="3" name="Shape 3"/>
        <xdr:cNvSpPr txBox="1"/>
      </xdr:nvSpPr>
      <xdr:spPr>
        <a:xfrm>
          <a:off x="2221800" y="3632363"/>
          <a:ext cx="6248400" cy="295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548135"/>
              </a:solidFill>
              <a:latin typeface="Arial"/>
              <a:ea typeface="Arial"/>
              <a:cs typeface="Arial"/>
              <a:sym typeface="Arial"/>
            </a:rPr>
            <a:t>Strategic Insights </a:t>
          </a:r>
          <a:r>
            <a:rPr b="1" lang="en-US" sz="1800">
              <a:solidFill>
                <a:srgbClr val="548135"/>
              </a:solidFill>
            </a:rPr>
            <a:t>Of EVs </a:t>
          </a:r>
          <a:r>
            <a:rPr b="1" lang="en-US" sz="1800">
              <a:solidFill>
                <a:srgbClr val="548135"/>
              </a:solidFill>
              <a:latin typeface="Arial"/>
              <a:ea typeface="Arial"/>
              <a:cs typeface="Arial"/>
              <a:sym typeface="Arial"/>
            </a:rPr>
            <a:t>in India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</xdr:row>
      <xdr:rowOff>161925</xdr:rowOff>
    </xdr:from>
    <xdr:ext cx="4352925" cy="428625"/>
    <xdr:sp>
      <xdr:nvSpPr>
        <xdr:cNvPr id="4" name="Shape 4"/>
        <xdr:cNvSpPr txBox="1"/>
      </xdr:nvSpPr>
      <xdr:spPr>
        <a:xfrm>
          <a:off x="3174300" y="3599025"/>
          <a:ext cx="434340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548135"/>
              </a:solidFill>
              <a:latin typeface="Arial"/>
              <a:ea typeface="Arial"/>
              <a:cs typeface="Arial"/>
              <a:sym typeface="Arial"/>
            </a:rPr>
            <a:t>Electric Vehicle Sales Analysis of</a:t>
          </a:r>
          <a:r>
            <a:rPr b="1" lang="en-US" sz="1200">
              <a:solidFill>
                <a:srgbClr val="548135"/>
              </a:solidFill>
              <a:latin typeface="Arial"/>
              <a:ea typeface="Arial"/>
              <a:cs typeface="Arial"/>
              <a:sym typeface="Arial"/>
            </a:rPr>
            <a:t> Indian EV/Hybrid Market</a:t>
          </a:r>
          <a:endParaRPr b="1" sz="1200">
            <a:solidFill>
              <a:srgbClr val="548135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4</xdr:col>
      <xdr:colOff>57150</xdr:colOff>
      <xdr:row>4</xdr:row>
      <xdr:rowOff>142875</xdr:rowOff>
    </xdr:from>
    <xdr:ext cx="4286250" cy="1123950"/>
    <xdr:sp>
      <xdr:nvSpPr>
        <xdr:cNvPr id="5" name="Shape 5"/>
        <xdr:cNvSpPr txBox="1"/>
      </xdr:nvSpPr>
      <xdr:spPr>
        <a:xfrm>
          <a:off x="2609350" y="2879900"/>
          <a:ext cx="4264200" cy="110850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This dashboard provides a comprehensive analysis of the Indian electric vehicle (EV) market, aimed at supporting AtliQ Motors in their expansion efforts. With a current market share of less than 2% in India, AtliQ Motors seeks to leverage data-driven insights to strategically position themselves in this growing market.</a:t>
          </a:r>
          <a:endParaRPr b="1" i="0" sz="1100" cap="non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4</xdr:col>
      <xdr:colOff>57150</xdr:colOff>
      <xdr:row>10</xdr:row>
      <xdr:rowOff>180975</xdr:rowOff>
    </xdr:from>
    <xdr:ext cx="1876425" cy="3638550"/>
    <xdr:sp>
      <xdr:nvSpPr>
        <xdr:cNvPr id="6" name="Shape 6"/>
        <xdr:cNvSpPr txBox="1"/>
      </xdr:nvSpPr>
      <xdr:spPr>
        <a:xfrm>
          <a:off x="4417325" y="2127426"/>
          <a:ext cx="1857300" cy="362160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Key metrics and visualizations on this dashboard highlight: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EV Sales Trends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Across various states and manufacturers.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Market Penetration Rate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Insights into the adoption rate of EVs across regions.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Infrastructure Analysis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Correlation between charging station availability and EV sales.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Competitor Overview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A snapshot of leading players in the Indian EV market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 cap="non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0</xdr:colOff>
      <xdr:row>4</xdr:row>
      <xdr:rowOff>142875</xdr:rowOff>
    </xdr:from>
    <xdr:ext cx="2381250" cy="1447800"/>
    <xdr:sp>
      <xdr:nvSpPr>
        <xdr:cNvPr id="7" name="Shape 7"/>
        <xdr:cNvSpPr txBox="1"/>
      </xdr:nvSpPr>
      <xdr:spPr>
        <a:xfrm>
          <a:off x="4269675" y="3065625"/>
          <a:ext cx="2359800" cy="1428900"/>
        </a:xfrm>
        <a:prstGeom prst="rect">
          <a:avLst/>
        </a:prstGeom>
        <a:solidFill>
          <a:srgbClr val="FFFFFF"/>
        </a:solidFill>
        <a:ln>
          <a:noFill/>
        </a:ln>
        <a:effectLst>
          <a:outerShdw blurRad="50800" rotWithShape="0" algn="tl" dir="2700000" dist="38100">
            <a:srgbClr val="000000">
              <a:alpha val="40000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Abbreviations Used: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EV: Electric Vehicle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CAGR: Compound Annual Growth Rate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0" lang="en-US" sz="1100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PCS: Public Charging Stations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342900</xdr:colOff>
      <xdr:row>11</xdr:row>
      <xdr:rowOff>76200</xdr:rowOff>
    </xdr:from>
    <xdr:ext cx="2533650" cy="16478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11</xdr:row>
      <xdr:rowOff>76200</xdr:rowOff>
    </xdr:from>
    <xdr:ext cx="2667000" cy="16478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552450</xdr:colOff>
      <xdr:row>0</xdr:row>
      <xdr:rowOff>0</xdr:rowOff>
    </xdr:from>
    <xdr:ext cx="3971925" cy="66103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9525</xdr:colOff>
      <xdr:row>0</xdr:row>
      <xdr:rowOff>0</xdr:rowOff>
    </xdr:from>
    <xdr:ext cx="5191125" cy="20764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295275</xdr:colOff>
      <xdr:row>8</xdr:row>
      <xdr:rowOff>0</xdr:rowOff>
    </xdr:from>
    <xdr:ext cx="3933825" cy="51435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8296275" cy="14478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285750</xdr:colOff>
      <xdr:row>8</xdr:row>
      <xdr:rowOff>0</xdr:rowOff>
    </xdr:from>
    <xdr:ext cx="1762125" cy="25050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8</xdr:row>
      <xdr:rowOff>0</xdr:rowOff>
    </xdr:from>
    <xdr:ext cx="2600325" cy="25050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276225</xdr:colOff>
      <xdr:row>22</xdr:row>
      <xdr:rowOff>142875</xdr:rowOff>
    </xdr:from>
    <xdr:ext cx="1771650" cy="276225"/>
    <xdr:sp>
      <xdr:nvSpPr>
        <xdr:cNvPr id="8" name="Shape 8"/>
        <xdr:cNvSpPr txBox="1"/>
      </xdr:nvSpPr>
      <xdr:spPr>
        <a:xfrm>
          <a:off x="4464938" y="3646650"/>
          <a:ext cx="1762125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rgbClr val="548135"/>
              </a:solidFill>
              <a:latin typeface="Arial"/>
              <a:ea typeface="Arial"/>
              <a:cs typeface="Arial"/>
              <a:sym typeface="Arial"/>
            </a:rPr>
            <a:t>Penetration Rate</a:t>
          </a:r>
          <a:endParaRPr sz="1400"/>
        </a:p>
      </xdr:txBody>
    </xdr:sp>
    <xdr:clientData fLocksWithSheet="0"/>
  </xdr:oneCellAnchor>
  <xdr:oneCellAnchor>
    <xdr:from>
      <xdr:col>8</xdr:col>
      <xdr:colOff>381000</xdr:colOff>
      <xdr:row>34</xdr:row>
      <xdr:rowOff>171450</xdr:rowOff>
    </xdr:from>
    <xdr:ext cx="2238375" cy="266700"/>
    <xdr:sp>
      <xdr:nvSpPr>
        <xdr:cNvPr id="9" name="Shape 9"/>
        <xdr:cNvSpPr txBox="1"/>
      </xdr:nvSpPr>
      <xdr:spPr>
        <a:xfrm>
          <a:off x="4231575" y="3651413"/>
          <a:ext cx="2228850" cy="257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rgbClr val="548135"/>
              </a:solidFill>
              <a:latin typeface="Arial"/>
              <a:ea typeface="Arial"/>
              <a:cs typeface="Arial"/>
              <a:sym typeface="Arial"/>
            </a:rPr>
            <a:t>CAGR</a:t>
          </a:r>
          <a:r>
            <a:rPr b="1" lang="en-US" sz="1000">
              <a:solidFill>
                <a:srgbClr val="548135"/>
              </a:solidFill>
              <a:latin typeface="Arial"/>
              <a:ea typeface="Arial"/>
              <a:cs typeface="Arial"/>
              <a:sym typeface="Arial"/>
            </a:rPr>
            <a:t> by State</a:t>
          </a:r>
          <a:endParaRPr b="1" sz="1000">
            <a:solidFill>
              <a:srgbClr val="548135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171450</xdr:colOff>
      <xdr:row>22</xdr:row>
      <xdr:rowOff>142875</xdr:rowOff>
    </xdr:from>
    <xdr:ext cx="1876425" cy="276225"/>
    <xdr:sp>
      <xdr:nvSpPr>
        <xdr:cNvPr id="10" name="Shape 10"/>
        <xdr:cNvSpPr txBox="1"/>
      </xdr:nvSpPr>
      <xdr:spPr>
        <a:xfrm>
          <a:off x="4412550" y="3646650"/>
          <a:ext cx="18669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rgbClr val="548135"/>
              </a:solidFill>
              <a:latin typeface="Arial"/>
              <a:ea typeface="Arial"/>
              <a:cs typeface="Arial"/>
              <a:sym typeface="Arial"/>
            </a:rPr>
            <a:t>Growth Rate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19050</xdr:colOff>
      <xdr:row>14</xdr:row>
      <xdr:rowOff>123825</xdr:rowOff>
    </xdr:from>
    <xdr:ext cx="3143250" cy="200977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46</xdr:col>
      <xdr:colOff>485775</xdr:colOff>
      <xdr:row>16</xdr:row>
      <xdr:rowOff>152400</xdr:rowOff>
    </xdr:from>
    <xdr:ext cx="2790825" cy="2057400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60</xdr:col>
      <xdr:colOff>190500</xdr:colOff>
      <xdr:row>4</xdr:row>
      <xdr:rowOff>19050</xdr:rowOff>
    </xdr:from>
    <xdr:ext cx="3057525" cy="549592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73</xdr:col>
      <xdr:colOff>0</xdr:colOff>
      <xdr:row>9</xdr:row>
      <xdr:rowOff>0</xdr:rowOff>
    </xdr:from>
    <xdr:ext cx="6162675" cy="3924300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39</xdr:col>
      <xdr:colOff>66675</xdr:colOff>
      <xdr:row>10</xdr:row>
      <xdr:rowOff>152400</xdr:rowOff>
    </xdr:from>
    <xdr:ext cx="3933825" cy="4914900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67</xdr:col>
      <xdr:colOff>47625</xdr:colOff>
      <xdr:row>9</xdr:row>
      <xdr:rowOff>0</xdr:rowOff>
    </xdr:from>
    <xdr:ext cx="5953125" cy="1990725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103</xdr:col>
      <xdr:colOff>171450</xdr:colOff>
      <xdr:row>12</xdr:row>
      <xdr:rowOff>47625</xdr:rowOff>
    </xdr:from>
    <xdr:ext cx="4362450" cy="2724150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110</xdr:col>
      <xdr:colOff>95250</xdr:colOff>
      <xdr:row>10</xdr:row>
      <xdr:rowOff>85725</xdr:rowOff>
    </xdr:from>
    <xdr:ext cx="4438650" cy="2714625"/>
    <xdr:graphicFrame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109</xdr:col>
      <xdr:colOff>0</xdr:colOff>
      <xdr:row>31</xdr:row>
      <xdr:rowOff>0</xdr:rowOff>
    </xdr:from>
    <xdr:ext cx="4438650" cy="2714625"/>
    <xdr:graphicFrame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457200</xdr:colOff>
      <xdr:row>2</xdr:row>
      <xdr:rowOff>19050</xdr:rowOff>
    </xdr:from>
    <xdr:ext cx="4343400" cy="2714625"/>
    <xdr:graphicFrame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76200</xdr:colOff>
      <xdr:row>1</xdr:row>
      <xdr:rowOff>142875</xdr:rowOff>
    </xdr:from>
    <xdr:ext cx="4371975" cy="2714625"/>
    <xdr:graphicFrame>
      <xdr:nvGraphicFramePr>
        <xdr:cNvPr id="19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419100</xdr:colOff>
      <xdr:row>18</xdr:row>
      <xdr:rowOff>57150</xdr:rowOff>
    </xdr:from>
    <xdr:ext cx="4343400" cy="2714625"/>
    <xdr:graphicFrame>
      <xdr:nvGraphicFramePr>
        <xdr:cNvPr id="20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590550</xdr:colOff>
      <xdr:row>18</xdr:row>
      <xdr:rowOff>0</xdr:rowOff>
    </xdr:from>
    <xdr:ext cx="4343400" cy="2714625"/>
    <xdr:graphicFrame>
      <xdr:nvGraphicFramePr>
        <xdr:cNvPr id="21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333375</xdr:colOff>
      <xdr:row>2</xdr:row>
      <xdr:rowOff>38100</xdr:rowOff>
    </xdr:from>
    <xdr:ext cx="4400550" cy="2533650"/>
    <xdr:graphicFrame>
      <xdr:nvGraphicFramePr>
        <xdr:cNvPr id="22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180975</xdr:colOff>
      <xdr:row>2</xdr:row>
      <xdr:rowOff>95250</xdr:rowOff>
    </xdr:from>
    <xdr:ext cx="4724400" cy="2905125"/>
    <xdr:graphicFrame>
      <xdr:nvGraphicFramePr>
        <xdr:cNvPr id="23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133350</xdr:colOff>
      <xdr:row>2</xdr:row>
      <xdr:rowOff>142875</xdr:rowOff>
    </xdr:from>
    <xdr:ext cx="4371975" cy="2724150"/>
    <xdr:graphicFrame>
      <xdr:nvGraphicFramePr>
        <xdr:cNvPr id="24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</xdr:colOff>
      <xdr:row>3</xdr:row>
      <xdr:rowOff>47625</xdr:rowOff>
    </xdr:from>
    <xdr:ext cx="6267450" cy="2981325"/>
    <xdr:graphicFrame>
      <xdr:nvGraphicFramePr>
        <xdr:cNvPr id="25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25</xdr:row>
      <xdr:rowOff>0</xdr:rowOff>
    </xdr:from>
    <xdr:ext cx="5962650" cy="1990725"/>
    <xdr:graphicFrame>
      <xdr:nvGraphicFramePr>
        <xdr:cNvPr id="26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371475</xdr:colOff>
      <xdr:row>26</xdr:row>
      <xdr:rowOff>95250</xdr:rowOff>
    </xdr:from>
    <xdr:ext cx="3352800" cy="2733675"/>
    <xdr:graphicFrame>
      <xdr:nvGraphicFramePr>
        <xdr:cNvPr id="27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showGridLines="0" workbookViewId="0"/>
  </sheetViews>
  <sheetFormatPr customHeight="1" defaultColWidth="12.63" defaultRowHeight="15.0"/>
  <cols>
    <col customWidth="1" min="1" max="26" width="7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>
      <c r="I10" s="1" t="s">
        <v>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/>
  </sheetPr>
  <sheetViews>
    <sheetView showGridLines="0" workbookViewId="0"/>
  </sheetViews>
  <sheetFormatPr customHeight="1" defaultColWidth="12.63" defaultRowHeight="15.0"/>
  <cols>
    <col customWidth="1" min="1" max="26" width="7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>
      <c r="I10" s="1" t="s">
        <v>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EFD9"/>
    <pageSetUpPr fitToPage="1"/>
  </sheetPr>
  <sheetViews>
    <sheetView showGridLines="0" workbookViewId="0"/>
  </sheetViews>
  <sheetFormatPr customHeight="1" defaultColWidth="12.63" defaultRowHeight="15.0"/>
  <cols>
    <col customWidth="1" min="1" max="26" width="7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>
      <c r="I10" s="1" t="s">
        <v>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480314960629921" footer="0.0" header="0.0" left="0.7086614173228347" right="0.7086614173228347" top="0.7480314960629921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7.63"/>
    <col customWidth="1" min="3" max="3" width="23.38"/>
    <col customWidth="1" min="4" max="4" width="5.88"/>
    <col customWidth="1" min="5" max="7" width="4.63"/>
    <col customWidth="1" min="8" max="11" width="6.25"/>
    <col customWidth="1" min="12" max="12" width="10.5"/>
    <col customWidth="1" min="13" max="13" width="6.5"/>
    <col customWidth="1" min="14" max="17" width="9.25"/>
    <col customWidth="1" min="18" max="18" width="9.38"/>
    <col customWidth="1" min="19" max="21" width="6.25"/>
    <col customWidth="1" min="22" max="22" width="7.25"/>
    <col customWidth="1" min="23" max="27" width="6.88"/>
    <col customWidth="1" min="28" max="29" width="10.5"/>
    <col customWidth="1" min="30" max="30" width="10.88"/>
    <col customWidth="1" min="31" max="36" width="10.5"/>
    <col customWidth="1" min="37" max="37" width="6.0"/>
    <col customWidth="1" min="38" max="38" width="6.75"/>
    <col customWidth="1" min="39" max="39" width="10.38"/>
    <col customWidth="1" min="40" max="44" width="10.25"/>
    <col customWidth="1" min="45" max="45" width="7.0"/>
    <col customWidth="1" min="46" max="46" width="6.0"/>
    <col customWidth="1" min="47" max="47" width="6.38"/>
    <col customWidth="1" min="48" max="48" width="13.75"/>
    <col customWidth="1" min="49" max="49" width="6.25"/>
    <col customWidth="1" min="50" max="52" width="5.88"/>
    <col customWidth="1" min="53" max="53" width="17.5"/>
    <col customWidth="1" min="54" max="54" width="8.5"/>
    <col customWidth="1" min="55" max="55" width="6.25"/>
    <col customWidth="1" min="56" max="56" width="6.0"/>
    <col customWidth="1" min="57" max="57" width="18.63"/>
    <col customWidth="1" min="58" max="58" width="7.5"/>
    <col customWidth="1" min="59" max="59" width="9.0"/>
    <col customWidth="1" min="60" max="60" width="7.0"/>
    <col customWidth="1" min="61" max="61" width="6.0"/>
    <col customWidth="1" min="62" max="62" width="6.38"/>
    <col customWidth="1" min="63" max="63" width="9.38"/>
    <col customWidth="1" min="64" max="67" width="7.63"/>
    <col customWidth="1" min="68" max="68" width="11.0"/>
    <col customWidth="1" min="69" max="69" width="6.88"/>
    <col customWidth="1" min="70" max="70" width="15.0"/>
    <col customWidth="1" min="71" max="71" width="15.25"/>
    <col customWidth="1" min="72" max="84" width="7.63"/>
  </cols>
  <sheetData>
    <row r="1" ht="14.25" customHeight="1"/>
    <row r="2" ht="14.25" customHeight="1">
      <c r="C2" s="2" t="s">
        <v>1</v>
      </c>
      <c r="D2" s="2"/>
      <c r="E2" s="3"/>
      <c r="F2" s="3"/>
      <c r="G2" s="3"/>
      <c r="L2" s="2" t="s">
        <v>1</v>
      </c>
      <c r="M2" s="2"/>
    </row>
    <row r="3" ht="14.25" customHeight="1"/>
    <row r="4" ht="14.25" customHeight="1">
      <c r="C4" s="1" t="s">
        <v>2</v>
      </c>
      <c r="L4" s="1" t="s">
        <v>2</v>
      </c>
    </row>
    <row r="5" ht="14.25" customHeight="1">
      <c r="BE5" s="3" t="s">
        <v>3</v>
      </c>
      <c r="BF5" s="1" t="s">
        <v>4</v>
      </c>
      <c r="BR5" s="4" t="s">
        <v>5</v>
      </c>
    </row>
    <row r="6" ht="14.25" customHeight="1">
      <c r="C6" s="3" t="s">
        <v>3</v>
      </c>
      <c r="D6" s="1" t="s">
        <v>4</v>
      </c>
      <c r="AV6" s="3" t="s">
        <v>3</v>
      </c>
      <c r="AW6" s="1" t="s">
        <v>4</v>
      </c>
      <c r="BR6" s="5" t="s">
        <v>3</v>
      </c>
      <c r="BS6" s="5" t="s">
        <v>4</v>
      </c>
    </row>
    <row r="7" ht="14.25" customHeight="1">
      <c r="BE7" s="3" t="s">
        <v>6</v>
      </c>
      <c r="BF7" s="1" t="s">
        <v>7</v>
      </c>
    </row>
    <row r="8" ht="14.25" customHeight="1">
      <c r="C8" s="1" t="s">
        <v>8</v>
      </c>
      <c r="L8" s="3" t="s">
        <v>6</v>
      </c>
      <c r="M8" s="1" t="s">
        <v>2</v>
      </c>
      <c r="V8" s="1" t="s">
        <v>9</v>
      </c>
      <c r="AD8" s="1" t="s">
        <v>10</v>
      </c>
      <c r="AM8" s="1" t="s">
        <v>11</v>
      </c>
      <c r="AV8" s="3" t="s">
        <v>12</v>
      </c>
      <c r="BE8" s="6" t="s">
        <v>13</v>
      </c>
      <c r="BF8" s="7">
        <v>0.46014610783073673</v>
      </c>
      <c r="BR8" s="5" t="s">
        <v>14</v>
      </c>
      <c r="BS8" s="8" t="s">
        <v>15</v>
      </c>
    </row>
    <row r="9" ht="14.25" customHeight="1">
      <c r="C9" s="9">
        <v>2066111.0</v>
      </c>
      <c r="L9" s="6" t="s">
        <v>16</v>
      </c>
      <c r="M9" s="9">
        <v>1913168.0</v>
      </c>
      <c r="V9" s="10">
        <v>3.9203378E11</v>
      </c>
      <c r="W9" s="10"/>
      <c r="X9" s="10"/>
      <c r="Y9" s="10"/>
      <c r="Z9" s="10"/>
      <c r="AA9" s="10"/>
      <c r="AD9" s="3">
        <v>26.0</v>
      </c>
      <c r="AE9" s="3"/>
      <c r="AF9" s="3"/>
      <c r="AG9" s="3"/>
      <c r="AH9" s="3"/>
      <c r="AI9" s="3"/>
      <c r="AM9" s="7">
        <v>0.9391375587344581</v>
      </c>
      <c r="AN9" s="7"/>
      <c r="AO9" s="7"/>
      <c r="AP9" s="7"/>
      <c r="AQ9" s="7"/>
      <c r="AV9" s="6" t="s">
        <v>17</v>
      </c>
      <c r="AW9" s="10">
        <v>1.6261928E11</v>
      </c>
      <c r="AX9" s="10"/>
      <c r="AY9" s="10"/>
      <c r="AZ9" s="10"/>
      <c r="BE9" s="6" t="s">
        <v>18</v>
      </c>
      <c r="BF9" s="7">
        <v>1.3203579191684325</v>
      </c>
      <c r="BR9" s="11" t="s">
        <v>19</v>
      </c>
      <c r="BS9" s="12"/>
    </row>
    <row r="10" ht="14.25" customHeight="1">
      <c r="L10" s="6" t="s">
        <v>20</v>
      </c>
      <c r="M10" s="9">
        <v>152943.0</v>
      </c>
      <c r="AV10" s="6" t="s">
        <v>21</v>
      </c>
      <c r="AW10" s="10">
        <v>2.294145E11</v>
      </c>
      <c r="AX10" s="10"/>
      <c r="AY10" s="10"/>
      <c r="AZ10" s="10"/>
      <c r="BE10" s="6" t="s">
        <v>22</v>
      </c>
      <c r="BF10" s="7">
        <v>2.8545198906339375</v>
      </c>
      <c r="BR10" s="11" t="s">
        <v>23</v>
      </c>
      <c r="BS10" s="12">
        <v>6315.0</v>
      </c>
    </row>
    <row r="11" ht="14.25" customHeight="1">
      <c r="L11" s="6" t="s">
        <v>24</v>
      </c>
      <c r="M11" s="9">
        <v>2066111.0</v>
      </c>
      <c r="BE11" s="6" t="s">
        <v>25</v>
      </c>
      <c r="BF11" s="7">
        <v>-1.0</v>
      </c>
      <c r="BR11" s="11" t="s">
        <v>26</v>
      </c>
      <c r="BS11" s="12">
        <v>1499.0</v>
      </c>
    </row>
    <row r="12" ht="14.25" customHeight="1">
      <c r="BE12" s="6" t="s">
        <v>27</v>
      </c>
      <c r="BF12" s="7">
        <v>11.409673645990857</v>
      </c>
      <c r="BR12" s="11" t="s">
        <v>28</v>
      </c>
      <c r="BS12" s="12">
        <v>5487.0</v>
      </c>
    </row>
    <row r="13" ht="14.25" customHeight="1">
      <c r="BE13" s="6" t="s">
        <v>29</v>
      </c>
      <c r="BF13" s="7">
        <v>5.665151342936064</v>
      </c>
      <c r="BR13" s="11" t="s">
        <v>30</v>
      </c>
      <c r="BS13" s="12">
        <v>15794.0</v>
      </c>
    </row>
    <row r="14" ht="14.25" customHeight="1">
      <c r="BE14" s="6" t="s">
        <v>31</v>
      </c>
      <c r="BF14" s="7">
        <v>-0.5852146563590818</v>
      </c>
      <c r="BR14" s="11" t="s">
        <v>32</v>
      </c>
      <c r="BS14" s="12">
        <v>17153.0</v>
      </c>
    </row>
    <row r="15" ht="14.25" customHeight="1">
      <c r="BE15" s="6" t="s">
        <v>33</v>
      </c>
      <c r="BF15" s="7">
        <v>2.554766326548573</v>
      </c>
      <c r="BR15" s="11" t="s">
        <v>34</v>
      </c>
      <c r="BS15" s="12">
        <v>19351.0</v>
      </c>
    </row>
    <row r="16" ht="14.25" customHeight="1">
      <c r="BE16" s="6" t="s">
        <v>35</v>
      </c>
      <c r="BF16" s="7">
        <v>-1.0</v>
      </c>
      <c r="BR16" s="11" t="s">
        <v>36</v>
      </c>
      <c r="BS16" s="12">
        <v>22190.0</v>
      </c>
    </row>
    <row r="17" ht="14.25" customHeight="1">
      <c r="BE17" s="6" t="s">
        <v>37</v>
      </c>
      <c r="BF17" s="7">
        <v>1.4033005508784266</v>
      </c>
      <c r="BR17" s="11" t="s">
        <v>38</v>
      </c>
      <c r="BS17" s="12">
        <v>26159.0</v>
      </c>
    </row>
    <row r="18" ht="14.25" customHeight="1">
      <c r="BE18" s="6" t="s">
        <v>39</v>
      </c>
      <c r="BF18" s="7">
        <v>2.3454906504588666</v>
      </c>
      <c r="BR18" s="11" t="s">
        <v>40</v>
      </c>
      <c r="BS18" s="12">
        <v>29241.0</v>
      </c>
    </row>
    <row r="19" ht="14.25" customHeight="1">
      <c r="BE19" s="6" t="s">
        <v>41</v>
      </c>
      <c r="BF19" s="7">
        <v>1.3153089940016467</v>
      </c>
      <c r="BR19" s="11" t="s">
        <v>42</v>
      </c>
      <c r="BS19" s="12"/>
    </row>
    <row r="20" ht="14.25" customHeight="1">
      <c r="BE20" s="6" t="s">
        <v>43</v>
      </c>
      <c r="BF20" s="7">
        <v>-0.34225877557747997</v>
      </c>
      <c r="BR20" s="11" t="s">
        <v>44</v>
      </c>
      <c r="BS20" s="12">
        <v>31672.0</v>
      </c>
    </row>
    <row r="21" ht="14.25" customHeight="1">
      <c r="BE21" s="6" t="s">
        <v>45</v>
      </c>
      <c r="BF21" s="7">
        <v>3.732178603907718</v>
      </c>
      <c r="BR21" s="11" t="s">
        <v>46</v>
      </c>
      <c r="BS21" s="12">
        <v>38171.0</v>
      </c>
    </row>
    <row r="22" ht="14.25" customHeight="1">
      <c r="BE22" s="6" t="s">
        <v>47</v>
      </c>
      <c r="BF22" s="7">
        <v>0.7788686410997854</v>
      </c>
      <c r="BR22" s="11" t="s">
        <v>48</v>
      </c>
      <c r="BS22" s="12">
        <v>58118.0</v>
      </c>
    </row>
    <row r="23" ht="14.25" customHeight="1">
      <c r="BE23" s="6" t="s">
        <v>49</v>
      </c>
      <c r="BF23" s="7">
        <v>-1.0</v>
      </c>
      <c r="BR23" s="11" t="s">
        <v>23</v>
      </c>
      <c r="BS23" s="12">
        <v>55524.0</v>
      </c>
    </row>
    <row r="24" ht="14.25" customHeight="1">
      <c r="BE24" s="6" t="s">
        <v>50</v>
      </c>
      <c r="BF24" s="7">
        <v>-0.0256529473364443</v>
      </c>
      <c r="BR24" s="11" t="s">
        <v>26</v>
      </c>
      <c r="BS24" s="12">
        <v>45373.0</v>
      </c>
    </row>
    <row r="25" ht="14.25" customHeight="1">
      <c r="BE25" s="6" t="s">
        <v>51</v>
      </c>
      <c r="BF25" s="7">
        <v>0.9471495190679495</v>
      </c>
      <c r="BR25" s="11" t="s">
        <v>28</v>
      </c>
      <c r="BS25" s="12">
        <v>47591.0</v>
      </c>
    </row>
    <row r="26" ht="14.25" customHeight="1">
      <c r="BE26" s="6" t="s">
        <v>52</v>
      </c>
      <c r="BF26" s="7">
        <v>3.3079788288112066</v>
      </c>
      <c r="BR26" s="11" t="s">
        <v>30</v>
      </c>
      <c r="BS26" s="12">
        <v>50010.0</v>
      </c>
    </row>
    <row r="27" ht="14.25" customHeight="1">
      <c r="BE27" s="6" t="s">
        <v>53</v>
      </c>
      <c r="BF27" s="7">
        <v>9.712142642814275</v>
      </c>
      <c r="BR27" s="11" t="s">
        <v>32</v>
      </c>
      <c r="BS27" s="12">
        <v>55584.0</v>
      </c>
    </row>
    <row r="28" ht="14.25" customHeight="1">
      <c r="BE28" s="6" t="s">
        <v>24</v>
      </c>
      <c r="BF28" s="7">
        <v>0.9391375587344581</v>
      </c>
      <c r="BR28" s="11" t="s">
        <v>34</v>
      </c>
      <c r="BS28" s="12">
        <v>56828.0</v>
      </c>
    </row>
    <row r="29" ht="14.25" customHeight="1">
      <c r="BR29" s="11" t="s">
        <v>36</v>
      </c>
      <c r="BS29" s="12">
        <v>81162.0</v>
      </c>
    </row>
    <row r="30" ht="14.25" customHeight="1">
      <c r="BR30" s="11" t="s">
        <v>38</v>
      </c>
      <c r="BS30" s="12">
        <v>80752.0</v>
      </c>
    </row>
    <row r="31" ht="14.25" customHeight="1">
      <c r="BR31" s="11" t="s">
        <v>40</v>
      </c>
      <c r="BS31" s="12">
        <v>68475.0</v>
      </c>
    </row>
    <row r="32" ht="14.25" customHeight="1">
      <c r="BR32" s="11" t="s">
        <v>54</v>
      </c>
      <c r="BS32" s="12"/>
    </row>
    <row r="33" ht="14.25" customHeight="1">
      <c r="BR33" s="11" t="s">
        <v>44</v>
      </c>
      <c r="BS33" s="12">
        <v>68116.0</v>
      </c>
    </row>
    <row r="34" ht="14.25" customHeight="1">
      <c r="BR34" s="11" t="s">
        <v>46</v>
      </c>
      <c r="BS34" s="12">
        <v>70827.0</v>
      </c>
    </row>
    <row r="35" ht="14.25" customHeight="1">
      <c r="BR35" s="11" t="s">
        <v>48</v>
      </c>
      <c r="BS35" s="12">
        <v>95126.0</v>
      </c>
    </row>
    <row r="36" ht="14.25" customHeight="1">
      <c r="BR36" s="11" t="s">
        <v>23</v>
      </c>
      <c r="BS36" s="12">
        <v>72818.0</v>
      </c>
    </row>
    <row r="37" ht="14.25" customHeight="1">
      <c r="BR37" s="11" t="s">
        <v>26</v>
      </c>
      <c r="BS37" s="12">
        <v>112997.0</v>
      </c>
    </row>
    <row r="38" ht="14.25" customHeight="1">
      <c r="BR38" s="11" t="s">
        <v>28</v>
      </c>
      <c r="BS38" s="12">
        <v>53631.0</v>
      </c>
    </row>
    <row r="39" ht="14.25" customHeight="1">
      <c r="BR39" s="11" t="s">
        <v>30</v>
      </c>
      <c r="BS39" s="12">
        <v>61622.0</v>
      </c>
    </row>
    <row r="40" ht="14.25" customHeight="1">
      <c r="BR40" s="11" t="s">
        <v>32</v>
      </c>
      <c r="BS40" s="12">
        <v>69224.0</v>
      </c>
    </row>
    <row r="41" ht="14.25" customHeight="1">
      <c r="BR41" s="11" t="s">
        <v>34</v>
      </c>
      <c r="BS41" s="12">
        <v>69793.0</v>
      </c>
    </row>
    <row r="42" ht="14.25" customHeight="1">
      <c r="BR42" s="11" t="s">
        <v>36</v>
      </c>
      <c r="BS42" s="12">
        <v>81833.0</v>
      </c>
    </row>
    <row r="43" ht="14.25" customHeight="1">
      <c r="BR43" s="11" t="s">
        <v>38</v>
      </c>
      <c r="BS43" s="12">
        <v>98285.0</v>
      </c>
    </row>
    <row r="44" ht="14.25" customHeight="1">
      <c r="BR44" s="11" t="s">
        <v>40</v>
      </c>
      <c r="BS44" s="12">
        <v>82685.0</v>
      </c>
    </row>
    <row r="45" ht="14.25" customHeight="1">
      <c r="BR45" s="11" t="s">
        <v>55</v>
      </c>
      <c r="BS45" s="12"/>
    </row>
    <row r="46" ht="14.25" customHeight="1">
      <c r="BR46" s="11" t="s">
        <v>44</v>
      </c>
      <c r="BS46" s="12">
        <v>89311.0</v>
      </c>
    </row>
    <row r="47" ht="14.25" customHeight="1">
      <c r="BR47" s="11" t="s">
        <v>46</v>
      </c>
      <c r="BS47" s="12">
        <v>89051.0</v>
      </c>
    </row>
    <row r="48" ht="14.25" customHeight="1">
      <c r="BR48" s="11" t="s">
        <v>48</v>
      </c>
      <c r="BS48" s="13">
        <v>138343.0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2.75"/>
    <col customWidth="1" min="3" max="3" width="4.63"/>
    <col customWidth="1" min="4" max="10" width="1.75"/>
    <col customWidth="1" min="11" max="11" width="6.88"/>
    <col customWidth="1" min="12" max="16" width="2.63"/>
    <col customWidth="1" min="17" max="17" width="9.75"/>
    <col customWidth="1" min="18" max="18" width="10.13"/>
    <col customWidth="1" min="19" max="23" width="2.63"/>
    <col customWidth="1" min="24" max="24" width="8.5"/>
    <col customWidth="1" min="25" max="32" width="2.63"/>
    <col customWidth="1" min="33" max="33" width="20.0"/>
    <col customWidth="1" min="34" max="34" width="8.5"/>
    <col customWidth="1" min="35" max="61" width="2.63"/>
    <col customWidth="1" min="62" max="62" width="14.5"/>
    <col customWidth="1" min="63" max="63" width="22.25"/>
    <col customWidth="1" min="64" max="101" width="2.63"/>
    <col customWidth="1" min="102" max="103" width="3.5"/>
    <col customWidth="1" min="104" max="104" width="13.63"/>
    <col customWidth="1" min="105" max="105" width="6.38"/>
    <col customWidth="1" min="106" max="107" width="14.13"/>
    <col customWidth="1" min="108" max="108" width="21.63"/>
    <col customWidth="1" min="109" max="113" width="19.13"/>
    <col customWidth="1" min="114" max="114" width="21.63"/>
    <col customWidth="1" min="115" max="115" width="27.38"/>
    <col customWidth="1" min="116" max="116" width="5.0"/>
  </cols>
  <sheetData>
    <row r="1" ht="14.25" customHeight="1"/>
    <row r="2" ht="14.25" customHeight="1"/>
    <row r="3" ht="14.25" customHeight="1"/>
    <row r="4" ht="14.25" customHeight="1">
      <c r="B4" s="2" t="s">
        <v>1</v>
      </c>
      <c r="C4" s="2"/>
    </row>
    <row r="5" ht="14.25" customHeight="1"/>
    <row r="6" ht="14.25" customHeight="1">
      <c r="B6" s="1" t="s">
        <v>2</v>
      </c>
      <c r="DK6" s="4" t="s">
        <v>5</v>
      </c>
    </row>
    <row r="7" ht="14.25" customHeight="1">
      <c r="CZ7" s="3" t="s">
        <v>56</v>
      </c>
      <c r="DA7" s="1" t="s">
        <v>4</v>
      </c>
      <c r="DK7" s="5" t="s">
        <v>3</v>
      </c>
      <c r="DL7" s="5" t="s">
        <v>4</v>
      </c>
    </row>
    <row r="8" ht="14.25" customHeight="1">
      <c r="B8" s="3" t="s">
        <v>3</v>
      </c>
      <c r="C8" s="1" t="s">
        <v>4</v>
      </c>
    </row>
    <row r="9" ht="14.25" customHeight="1">
      <c r="CZ9" s="3" t="s">
        <v>12</v>
      </c>
      <c r="DE9" s="1" t="s">
        <v>57</v>
      </c>
      <c r="DF9" s="1" t="s">
        <v>58</v>
      </c>
      <c r="DG9" s="1" t="s">
        <v>59</v>
      </c>
      <c r="DH9" s="1" t="s">
        <v>60</v>
      </c>
      <c r="DK9" s="14" t="s">
        <v>61</v>
      </c>
    </row>
    <row r="10" ht="14.25" customHeight="1">
      <c r="B10" s="1" t="s">
        <v>8</v>
      </c>
      <c r="K10" s="1" t="s">
        <v>9</v>
      </c>
      <c r="Q10" s="1" t="s">
        <v>62</v>
      </c>
      <c r="X10" s="1" t="s">
        <v>63</v>
      </c>
      <c r="AG10" s="3" t="s">
        <v>3</v>
      </c>
      <c r="AH10" s="1" t="s">
        <v>4</v>
      </c>
      <c r="BJ10" s="4" t="s">
        <v>5</v>
      </c>
      <c r="CZ10" s="6" t="s">
        <v>2</v>
      </c>
      <c r="DA10" s="9">
        <v>2066111.0</v>
      </c>
      <c r="DE10" s="15">
        <v>2.692762092543542</v>
      </c>
      <c r="DF10" s="15">
        <v>49.206814878613336</v>
      </c>
      <c r="DG10" s="15">
        <v>0.28134105780577906</v>
      </c>
      <c r="DH10" s="15">
        <v>18.650100073738543</v>
      </c>
      <c r="DK10" s="16">
        <v>11665.0</v>
      </c>
    </row>
    <row r="11" ht="14.25" customHeight="1">
      <c r="B11" s="9">
        <v>2066111.0</v>
      </c>
      <c r="K11" s="10">
        <v>3.9203378E11</v>
      </c>
      <c r="Q11" s="3">
        <v>34.0</v>
      </c>
      <c r="X11" s="7">
        <v>0.9391375587344581</v>
      </c>
      <c r="BJ11" s="5" t="s">
        <v>64</v>
      </c>
      <c r="BK11" s="5" t="s">
        <v>4</v>
      </c>
      <c r="CZ11" s="6" t="s">
        <v>65</v>
      </c>
      <c r="DA11" s="9">
        <v>5.7233357E7</v>
      </c>
    </row>
    <row r="12" ht="14.25" customHeight="1">
      <c r="AG12" s="3" t="s">
        <v>6</v>
      </c>
      <c r="AH12" s="1" t="s">
        <v>63</v>
      </c>
      <c r="BJ12" s="5" t="s">
        <v>3</v>
      </c>
      <c r="BK12" s="5" t="s">
        <v>4</v>
      </c>
      <c r="CZ12" s="6" t="s">
        <v>66</v>
      </c>
      <c r="DA12" s="17">
        <v>0.03609976958017682</v>
      </c>
    </row>
    <row r="13" ht="14.25" customHeight="1">
      <c r="AG13" s="6" t="s">
        <v>67</v>
      </c>
      <c r="AH13" s="7">
        <v>0.2613124477737825</v>
      </c>
    </row>
    <row r="14" ht="14.25" customHeight="1">
      <c r="AG14" s="6" t="s">
        <v>68</v>
      </c>
      <c r="AH14" s="7">
        <v>0.5435242055128324</v>
      </c>
      <c r="BJ14" s="18" t="s">
        <v>69</v>
      </c>
      <c r="BK14" s="14" t="s">
        <v>70</v>
      </c>
    </row>
    <row r="15" ht="14.25" customHeight="1">
      <c r="AG15" s="6" t="s">
        <v>71</v>
      </c>
      <c r="AH15" s="7">
        <v>1.188700746768299</v>
      </c>
      <c r="BJ15" s="11" t="s">
        <v>72</v>
      </c>
      <c r="BK15" s="19">
        <v>8097393.578429035</v>
      </c>
    </row>
    <row r="16" ht="14.25" customHeight="1">
      <c r="AG16" s="6" t="s">
        <v>73</v>
      </c>
      <c r="AH16" s="7">
        <v>0.7664998859816912</v>
      </c>
      <c r="BJ16" s="11" t="s">
        <v>74</v>
      </c>
      <c r="BK16" s="19">
        <v>5670642.348697931</v>
      </c>
    </row>
    <row r="17" ht="14.25" customHeight="1">
      <c r="AG17" s="6" t="s">
        <v>75</v>
      </c>
      <c r="AH17" s="7">
        <v>1.6457513110645907</v>
      </c>
      <c r="BJ17" s="11" t="s">
        <v>76</v>
      </c>
      <c r="BK17" s="19">
        <v>7883363.09857058</v>
      </c>
    </row>
    <row r="18" ht="14.25" customHeight="1">
      <c r="AG18" s="6" t="s">
        <v>77</v>
      </c>
      <c r="AH18" s="7">
        <v>1.5089166087427168</v>
      </c>
      <c r="BJ18" s="11" t="s">
        <v>78</v>
      </c>
      <c r="BK18" s="19">
        <v>1.0191126016601274E7</v>
      </c>
    </row>
    <row r="19" ht="14.25" customHeight="1">
      <c r="AG19" s="6" t="s">
        <v>79</v>
      </c>
      <c r="AH19" s="7">
        <v>0.6810007530938307</v>
      </c>
      <c r="BJ19" s="11" t="s">
        <v>80</v>
      </c>
      <c r="BK19" s="19">
        <v>2071441.9928784696</v>
      </c>
    </row>
    <row r="20" ht="14.25" customHeight="1">
      <c r="AG20" s="6" t="s">
        <v>81</v>
      </c>
      <c r="AH20" s="7">
        <v>1.3784749015162756</v>
      </c>
      <c r="BJ20" s="11" t="s">
        <v>82</v>
      </c>
      <c r="BK20" s="19">
        <v>2310366.787090609</v>
      </c>
    </row>
    <row r="21" ht="14.25" customHeight="1">
      <c r="AG21" s="6" t="s">
        <v>83</v>
      </c>
      <c r="AH21" s="7">
        <v>1.464483371867971</v>
      </c>
      <c r="BJ21" s="11" t="s">
        <v>77</v>
      </c>
      <c r="BK21" s="19">
        <v>5170310.927127662</v>
      </c>
    </row>
    <row r="22" ht="14.25" customHeight="1">
      <c r="AG22" s="6" t="s">
        <v>72</v>
      </c>
      <c r="AH22" s="7">
        <v>1.1632964026833315</v>
      </c>
      <c r="BJ22" s="11" t="s">
        <v>84</v>
      </c>
      <c r="BK22" s="19">
        <v>4532069.852409146</v>
      </c>
    </row>
    <row r="23" ht="14.25" customHeight="1">
      <c r="AG23" s="6" t="s">
        <v>85</v>
      </c>
      <c r="AH23" s="7">
        <v>0.41068914876792384</v>
      </c>
      <c r="BJ23" s="11" t="s">
        <v>86</v>
      </c>
      <c r="BK23" s="19">
        <v>4910941.858967527</v>
      </c>
    </row>
    <row r="24" ht="14.25" customHeight="1">
      <c r="AG24" s="6" t="s">
        <v>87</v>
      </c>
      <c r="AH24" s="7">
        <v>0.5380794802560269</v>
      </c>
      <c r="BJ24" s="11" t="s">
        <v>88</v>
      </c>
      <c r="BK24" s="20">
        <v>2728196.6614131425</v>
      </c>
    </row>
    <row r="25" ht="14.25" customHeight="1">
      <c r="AG25" s="6" t="s">
        <v>89</v>
      </c>
      <c r="AH25" s="7">
        <v>0.26176472022521735</v>
      </c>
    </row>
    <row r="26" ht="14.25" customHeight="1">
      <c r="AG26" s="6" t="s">
        <v>90</v>
      </c>
      <c r="AH26" s="7">
        <v>0.6988537147069083</v>
      </c>
    </row>
    <row r="27" ht="14.25" customHeight="1">
      <c r="AG27" s="6" t="s">
        <v>74</v>
      </c>
      <c r="AH27" s="7">
        <v>0.9324312542223172</v>
      </c>
    </row>
    <row r="28" ht="14.25" customHeight="1">
      <c r="AG28" s="6" t="s">
        <v>76</v>
      </c>
      <c r="AH28" s="7">
        <v>1.3283195498243554</v>
      </c>
    </row>
    <row r="29" ht="14.25" customHeight="1">
      <c r="AG29" s="6" t="s">
        <v>91</v>
      </c>
      <c r="AH29" s="7">
        <v>0.6072751268321592</v>
      </c>
    </row>
    <row r="30" ht="14.25" customHeight="1">
      <c r="AG30" s="6" t="s">
        <v>84</v>
      </c>
      <c r="AH30" s="7">
        <v>1.3367086201195648</v>
      </c>
    </row>
    <row r="31" ht="14.25" customHeight="1">
      <c r="AG31" s="6" t="s">
        <v>78</v>
      </c>
      <c r="AH31" s="7">
        <v>1.0188930675434626</v>
      </c>
    </row>
    <row r="32" ht="14.25" customHeight="1">
      <c r="AG32" s="6" t="s">
        <v>92</v>
      </c>
      <c r="AH32" s="7">
        <v>1.2449944320643649</v>
      </c>
    </row>
    <row r="33" ht="14.25" customHeight="1">
      <c r="AG33" s="6" t="s">
        <v>93</v>
      </c>
      <c r="AH33" s="7">
        <v>4.766281297335398</v>
      </c>
    </row>
    <row r="34" ht="14.25" customHeight="1">
      <c r="AG34" s="6" t="s">
        <v>94</v>
      </c>
      <c r="AH34" s="7">
        <v>2.0</v>
      </c>
    </row>
    <row r="35" ht="14.25" customHeight="1">
      <c r="AG35" s="6" t="s">
        <v>80</v>
      </c>
      <c r="AH35" s="7">
        <v>1.0294214135936408</v>
      </c>
    </row>
    <row r="36" ht="14.25" customHeight="1">
      <c r="AG36" s="6" t="s">
        <v>95</v>
      </c>
      <c r="AH36" s="7">
        <v>1.0544362844504294</v>
      </c>
    </row>
    <row r="37" ht="14.25" customHeight="1">
      <c r="AG37" s="6" t="s">
        <v>96</v>
      </c>
      <c r="AH37" s="7">
        <v>0.5725954778971207</v>
      </c>
    </row>
    <row r="38" ht="14.25" customHeight="1">
      <c r="AG38" s="6" t="s">
        <v>82</v>
      </c>
      <c r="AH38" s="7">
        <v>0.8187388548260757</v>
      </c>
    </row>
    <row r="39" ht="14.25" customHeight="1">
      <c r="AG39" s="6" t="s">
        <v>97</v>
      </c>
      <c r="AH39" s="7">
        <v>0.599531304272706</v>
      </c>
    </row>
    <row r="40" ht="14.25" customHeight="1">
      <c r="AG40" s="6" t="s">
        <v>98</v>
      </c>
      <c r="AH40" s="7">
        <v>2.295017884191656</v>
      </c>
    </row>
    <row r="41" ht="14.25" customHeight="1">
      <c r="AG41" s="6" t="s">
        <v>86</v>
      </c>
      <c r="AH41" s="7">
        <v>1.3770490033633154</v>
      </c>
    </row>
    <row r="42" ht="14.25" customHeight="1">
      <c r="AG42" s="6" t="s">
        <v>99</v>
      </c>
      <c r="AH42" s="7">
        <v>0.7457431218879389</v>
      </c>
    </row>
    <row r="43" ht="14.25" customHeight="1">
      <c r="AG43" s="6" t="s">
        <v>88</v>
      </c>
      <c r="AH43" s="7">
        <v>1.506156293380939</v>
      </c>
    </row>
    <row r="44" ht="14.25" customHeight="1">
      <c r="AG44" s="6" t="s">
        <v>24</v>
      </c>
      <c r="AH44" s="7">
        <v>0.9391375587344581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BK15:BK24">
    <cfRule type="colorScale" priority="1">
      <colorScale>
        <cfvo type="min"/>
        <cfvo type="percentile" val="50"/>
        <cfvo type="max"/>
        <color rgb="FFE2EFD9"/>
        <color rgb="FFA8D08D"/>
        <color rgb="FF548135"/>
      </colorScale>
    </cfRule>
  </conditionalFormatting>
  <conditionalFormatting sqref="DK10">
    <cfRule type="colorScale" priority="2">
      <colorScale>
        <cfvo type="min"/>
        <cfvo type="percentile" val="50"/>
        <cfvo type="max"/>
        <color rgb="FFE2EFD9"/>
        <color rgb="FFC5E0B3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20.25"/>
    <col customWidth="1" min="3" max="4" width="7.63"/>
    <col customWidth="1" min="5" max="5" width="15.0"/>
    <col customWidth="1" min="6" max="6" width="20.25"/>
    <col customWidth="1" min="7" max="26" width="7.63"/>
  </cols>
  <sheetData>
    <row r="1" ht="14.25" customHeight="1">
      <c r="A1" s="5" t="s">
        <v>100</v>
      </c>
    </row>
    <row r="2" ht="14.25" customHeight="1"/>
    <row r="3" ht="14.25" customHeight="1"/>
    <row r="4" ht="14.25" customHeight="1"/>
    <row r="5" ht="14.25" customHeight="1"/>
    <row r="6" ht="14.25" customHeight="1">
      <c r="A6" s="21" t="s">
        <v>101</v>
      </c>
      <c r="E6" s="21" t="s">
        <v>102</v>
      </c>
    </row>
    <row r="7" ht="14.25" customHeight="1"/>
    <row r="8" ht="14.25" customHeight="1">
      <c r="A8" s="4" t="s">
        <v>5</v>
      </c>
      <c r="E8" s="4" t="s">
        <v>5</v>
      </c>
    </row>
    <row r="9" ht="14.25" customHeight="1">
      <c r="A9" s="5" t="s">
        <v>64</v>
      </c>
      <c r="B9" s="5" t="s">
        <v>54</v>
      </c>
      <c r="E9" s="5" t="s">
        <v>64</v>
      </c>
      <c r="F9" s="5" t="s">
        <v>55</v>
      </c>
    </row>
    <row r="10" ht="14.25" customHeight="1">
      <c r="A10" s="5" t="s">
        <v>3</v>
      </c>
      <c r="B10" s="5" t="s">
        <v>16</v>
      </c>
      <c r="E10" s="5" t="s">
        <v>3</v>
      </c>
      <c r="F10" s="5" t="s">
        <v>16</v>
      </c>
    </row>
    <row r="11" ht="14.25" customHeight="1"/>
    <row r="12" ht="14.25" customHeight="1">
      <c r="A12" s="14" t="s">
        <v>14</v>
      </c>
      <c r="B12" s="14" t="s">
        <v>103</v>
      </c>
      <c r="E12" s="14" t="s">
        <v>14</v>
      </c>
      <c r="F12" s="14" t="s">
        <v>103</v>
      </c>
    </row>
    <row r="13" ht="14.25" customHeight="1">
      <c r="A13" s="11" t="s">
        <v>45</v>
      </c>
      <c r="B13" s="5">
        <v>152583.0</v>
      </c>
      <c r="E13" s="11" t="s">
        <v>52</v>
      </c>
      <c r="F13" s="5">
        <v>180743.0</v>
      </c>
    </row>
    <row r="14" ht="14.25" customHeight="1">
      <c r="A14" s="11" t="s">
        <v>43</v>
      </c>
      <c r="B14" s="5">
        <v>96945.0</v>
      </c>
      <c r="E14" s="11" t="s">
        <v>45</v>
      </c>
      <c r="F14" s="5">
        <v>322489.0</v>
      </c>
    </row>
    <row r="15" ht="14.25" customHeight="1">
      <c r="A15" s="4" t="s">
        <v>31</v>
      </c>
      <c r="B15" s="16">
        <v>88993.0</v>
      </c>
      <c r="E15" s="4" t="s">
        <v>18</v>
      </c>
      <c r="F15" s="16">
        <v>107552.0</v>
      </c>
    </row>
    <row r="16" ht="14.25" customHeight="1"/>
    <row r="17" ht="14.25" customHeight="1"/>
    <row r="18" ht="14.25" customHeight="1"/>
    <row r="19" ht="14.25" customHeight="1">
      <c r="A19" s="21" t="s">
        <v>104</v>
      </c>
      <c r="E19" s="21" t="s">
        <v>105</v>
      </c>
    </row>
    <row r="20" ht="14.25" customHeight="1"/>
    <row r="21" ht="14.25" customHeight="1">
      <c r="A21" s="4" t="s">
        <v>5</v>
      </c>
      <c r="E21" s="4" t="s">
        <v>5</v>
      </c>
    </row>
    <row r="22" ht="14.25" customHeight="1">
      <c r="A22" s="5" t="s">
        <v>64</v>
      </c>
      <c r="B22" s="5" t="s">
        <v>54</v>
      </c>
      <c r="E22" s="5" t="s">
        <v>64</v>
      </c>
      <c r="F22" s="5" t="s">
        <v>55</v>
      </c>
    </row>
    <row r="23" ht="14.25" customHeight="1">
      <c r="A23" s="5" t="s">
        <v>3</v>
      </c>
      <c r="B23" s="5" t="s">
        <v>16</v>
      </c>
      <c r="E23" s="5" t="s">
        <v>3</v>
      </c>
      <c r="F23" s="5" t="s">
        <v>16</v>
      </c>
    </row>
    <row r="24" ht="14.25" customHeight="1"/>
    <row r="25" ht="14.25" customHeight="1">
      <c r="A25" s="14" t="s">
        <v>14</v>
      </c>
      <c r="B25" s="22" t="s">
        <v>103</v>
      </c>
      <c r="E25" s="14" t="s">
        <v>14</v>
      </c>
      <c r="F25" s="14" t="s">
        <v>103</v>
      </c>
    </row>
    <row r="26" ht="14.25" customHeight="1">
      <c r="A26" s="11" t="s">
        <v>35</v>
      </c>
      <c r="B26" s="5">
        <v>8563.0</v>
      </c>
      <c r="E26" s="11" t="s">
        <v>106</v>
      </c>
      <c r="F26" s="5">
        <v>4841.0</v>
      </c>
    </row>
    <row r="27" ht="14.25" customHeight="1">
      <c r="A27" s="11" t="s">
        <v>25</v>
      </c>
      <c r="B27" s="5">
        <v>11018.0</v>
      </c>
      <c r="E27" s="11" t="s">
        <v>50</v>
      </c>
      <c r="F27" s="5">
        <v>7254.0</v>
      </c>
    </row>
    <row r="28" ht="14.25" customHeight="1">
      <c r="A28" s="4" t="s">
        <v>49</v>
      </c>
      <c r="B28" s="16">
        <v>11556.0</v>
      </c>
      <c r="E28" s="4" t="s">
        <v>107</v>
      </c>
      <c r="F28" s="16">
        <v>9585.0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B13:B15">
    <cfRule type="colorScale" priority="1">
      <colorScale>
        <cfvo type="min"/>
        <cfvo type="percentile" val="50"/>
        <cfvo type="max"/>
        <color rgb="FFE2EFD9"/>
        <color rgb="FFC5E0B3"/>
        <color rgb="FFA8D08D"/>
      </colorScale>
    </cfRule>
  </conditionalFormatting>
  <conditionalFormatting sqref="F13:F15">
    <cfRule type="colorScale" priority="2">
      <colorScale>
        <cfvo type="min"/>
        <cfvo type="percentile" val="50"/>
        <cfvo type="max"/>
        <color rgb="FFE2EFD9"/>
        <color rgb="FFC5E0B3"/>
        <color rgb="FFA8D08D"/>
      </colorScale>
    </cfRule>
  </conditionalFormatting>
  <conditionalFormatting sqref="B26:B28">
    <cfRule type="colorScale" priority="3">
      <colorScale>
        <cfvo type="min"/>
        <cfvo type="percentile" val="50"/>
        <cfvo type="max"/>
        <color rgb="FFE2EFD9"/>
        <color rgb="FFC5E0B3"/>
        <color rgb="FFA8D08D"/>
      </colorScale>
    </cfRule>
  </conditionalFormatting>
  <conditionalFormatting sqref="F26:F28">
    <cfRule type="colorScale" priority="4">
      <colorScale>
        <cfvo type="min"/>
        <cfvo type="percentile" val="50"/>
        <cfvo type="max"/>
        <color rgb="FFE2EFD9"/>
        <color rgb="FFC5E0B3"/>
        <color rgb="FFA8D08D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5.38"/>
    <col customWidth="1" min="2" max="2" width="15.75"/>
    <col customWidth="1" min="3" max="26" width="7.63"/>
  </cols>
  <sheetData>
    <row r="1" ht="14.25" customHeight="1">
      <c r="A1" s="5" t="s">
        <v>108</v>
      </c>
    </row>
    <row r="2" ht="14.25" customHeight="1"/>
    <row r="3" ht="14.25" customHeight="1"/>
    <row r="4" ht="14.25" customHeight="1">
      <c r="A4" s="4" t="s">
        <v>5</v>
      </c>
    </row>
    <row r="5" ht="14.25" customHeight="1">
      <c r="A5" s="5" t="s">
        <v>64</v>
      </c>
      <c r="B5" s="5" t="s">
        <v>55</v>
      </c>
    </row>
    <row r="6" ht="14.25" customHeight="1"/>
    <row r="7" ht="14.25" customHeight="1">
      <c r="A7" s="5" t="s">
        <v>14</v>
      </c>
      <c r="B7" s="14" t="s">
        <v>66</v>
      </c>
    </row>
    <row r="8" ht="14.25" customHeight="1">
      <c r="A8" s="11" t="s">
        <v>16</v>
      </c>
      <c r="B8" s="23"/>
    </row>
    <row r="9" ht="14.25" customHeight="1">
      <c r="A9" s="11" t="s">
        <v>83</v>
      </c>
      <c r="B9" s="23">
        <v>0.17992263768649844</v>
      </c>
    </row>
    <row r="10" ht="14.25" customHeight="1">
      <c r="A10" s="11" t="s">
        <v>76</v>
      </c>
      <c r="B10" s="23">
        <v>0.13524902534418348</v>
      </c>
    </row>
    <row r="11" ht="14.25" customHeight="1">
      <c r="A11" s="11" t="s">
        <v>74</v>
      </c>
      <c r="B11" s="23">
        <v>0.11573278573365307</v>
      </c>
    </row>
    <row r="12" ht="14.25" customHeight="1">
      <c r="A12" s="11" t="s">
        <v>78</v>
      </c>
      <c r="B12" s="23">
        <v>0.10072506951081882</v>
      </c>
    </row>
    <row r="13" ht="14.25" customHeight="1">
      <c r="A13" s="11" t="s">
        <v>79</v>
      </c>
      <c r="B13" s="23">
        <v>0.09400865706854089</v>
      </c>
    </row>
    <row r="14" ht="14.25" customHeight="1">
      <c r="A14" s="11" t="s">
        <v>20</v>
      </c>
      <c r="B14" s="23"/>
    </row>
    <row r="15" ht="14.25" customHeight="1">
      <c r="A15" s="11" t="s">
        <v>76</v>
      </c>
      <c r="B15" s="23">
        <v>0.053205440661049604</v>
      </c>
    </row>
    <row r="16" ht="14.25" customHeight="1">
      <c r="A16" s="11" t="s">
        <v>75</v>
      </c>
      <c r="B16" s="23">
        <v>0.045031124453666506</v>
      </c>
    </row>
    <row r="17" ht="14.25" customHeight="1">
      <c r="A17" s="11" t="s">
        <v>79</v>
      </c>
      <c r="B17" s="23">
        <v>0.042907572216974096</v>
      </c>
    </row>
    <row r="18" ht="14.25" customHeight="1">
      <c r="A18" s="11" t="s">
        <v>74</v>
      </c>
      <c r="B18" s="23">
        <v>0.04261120173647761</v>
      </c>
    </row>
    <row r="19" ht="14.25" customHeight="1">
      <c r="A19" s="11" t="s">
        <v>83</v>
      </c>
      <c r="B19" s="24">
        <v>0.042543533878022614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27.88"/>
    <col customWidth="1" min="3" max="4" width="7.63"/>
    <col customWidth="1" min="5" max="5" width="23.25"/>
    <col customWidth="1" min="6" max="6" width="27.88"/>
    <col customWidth="1" min="7" max="26" width="7.63"/>
  </cols>
  <sheetData>
    <row r="1" ht="14.25" customHeight="1">
      <c r="A1" s="5" t="s">
        <v>109</v>
      </c>
    </row>
    <row r="2" ht="14.25" customHeight="1">
      <c r="A2" s="5"/>
    </row>
    <row r="3" ht="14.25" customHeight="1"/>
    <row r="4" ht="14.25" customHeight="1">
      <c r="A4" s="4" t="s">
        <v>5</v>
      </c>
      <c r="E4" s="4" t="s">
        <v>5</v>
      </c>
    </row>
    <row r="5" ht="14.25" customHeight="1">
      <c r="A5" s="5" t="s">
        <v>3</v>
      </c>
      <c r="B5" s="5" t="s">
        <v>4</v>
      </c>
      <c r="E5" s="5" t="s">
        <v>3</v>
      </c>
      <c r="F5" s="5" t="s">
        <v>4</v>
      </c>
    </row>
    <row r="6" ht="14.25" customHeight="1"/>
    <row r="7" ht="14.25" customHeight="1">
      <c r="A7" s="5" t="s">
        <v>14</v>
      </c>
      <c r="B7" s="14" t="s">
        <v>110</v>
      </c>
      <c r="E7" s="5" t="s">
        <v>14</v>
      </c>
      <c r="F7" s="14" t="s">
        <v>111</v>
      </c>
    </row>
    <row r="8" ht="14.25" customHeight="1">
      <c r="A8" s="11" t="s">
        <v>72</v>
      </c>
      <c r="B8" s="23">
        <v>-0.0018525656477628091</v>
      </c>
      <c r="E8" s="11" t="s">
        <v>67</v>
      </c>
      <c r="F8" s="24">
        <v>-7.534552989098449E-4</v>
      </c>
    </row>
    <row r="9" ht="14.25" customHeight="1">
      <c r="A9" s="11" t="s">
        <v>85</v>
      </c>
      <c r="B9" s="23">
        <v>-0.004256004040898962</v>
      </c>
    </row>
    <row r="10" ht="14.25" customHeight="1">
      <c r="A10" s="11" t="s">
        <v>87</v>
      </c>
      <c r="B10" s="23">
        <v>-0.0010840652998759907</v>
      </c>
    </row>
    <row r="11" ht="14.25" customHeight="1">
      <c r="A11" s="11" t="s">
        <v>90</v>
      </c>
      <c r="B11" s="23">
        <v>-0.0014604951885452376</v>
      </c>
    </row>
    <row r="12" ht="14.25" customHeight="1">
      <c r="A12" s="11" t="s">
        <v>82</v>
      </c>
      <c r="B12" s="23">
        <v>-0.0055932233267409134</v>
      </c>
    </row>
    <row r="13" ht="14.25" customHeight="1">
      <c r="A13" s="11" t="s">
        <v>99</v>
      </c>
      <c r="B13" s="24">
        <v>-0.003855812955787609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B8:B13">
    <cfRule type="colorScale" priority="1">
      <colorScale>
        <cfvo type="min"/>
        <cfvo type="percentile" val="50"/>
        <cfvo type="max"/>
        <color rgb="FFFEF2CB"/>
        <color rgb="FFFFEB84"/>
        <color rgb="FFFFD965"/>
      </colorScale>
    </cfRule>
  </conditionalFormatting>
  <conditionalFormatting sqref="F8">
    <cfRule type="colorScale" priority="2">
      <colorScale>
        <cfvo type="min"/>
        <cfvo type="percentile" val="50"/>
        <cfvo type="max"/>
        <color rgb="FFFEF2CB"/>
        <color rgb="FFFFEB84"/>
        <color rgb="FFFFD965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15.38"/>
    <col customWidth="1" min="3" max="3" width="13.75"/>
    <col customWidth="1" min="4" max="4" width="19.63"/>
    <col customWidth="1" min="5" max="5" width="9.5"/>
    <col customWidth="1" min="6" max="6" width="10.88"/>
    <col customWidth="1" min="7" max="26" width="7.63"/>
  </cols>
  <sheetData>
    <row r="1" ht="14.25" customHeight="1">
      <c r="A1" s="5" t="s">
        <v>112</v>
      </c>
    </row>
    <row r="2" ht="14.25" customHeight="1"/>
    <row r="3" ht="14.25" customHeight="1"/>
    <row r="4" ht="14.25" customHeight="1">
      <c r="A4" s="4" t="s">
        <v>5</v>
      </c>
    </row>
    <row r="5" ht="14.25" customHeight="1">
      <c r="A5" s="5" t="s">
        <v>3</v>
      </c>
      <c r="B5" s="5" t="s">
        <v>20</v>
      </c>
    </row>
    <row r="6" ht="14.25" customHeight="1"/>
    <row r="7" ht="14.25" customHeight="1">
      <c r="A7" s="5" t="s">
        <v>15</v>
      </c>
      <c r="B7" s="14" t="s">
        <v>113</v>
      </c>
      <c r="C7" s="5"/>
      <c r="D7" s="5"/>
      <c r="E7" s="5"/>
      <c r="F7" s="5"/>
    </row>
    <row r="8" ht="14.25" customHeight="1">
      <c r="A8" s="5" t="s">
        <v>14</v>
      </c>
      <c r="B8" s="5" t="s">
        <v>29</v>
      </c>
      <c r="C8" s="5" t="s">
        <v>33</v>
      </c>
      <c r="D8" s="5" t="s">
        <v>37</v>
      </c>
      <c r="E8" s="5" t="s">
        <v>41</v>
      </c>
      <c r="F8" s="5" t="s">
        <v>51</v>
      </c>
    </row>
    <row r="9" ht="14.25" customHeight="1">
      <c r="A9" s="11">
        <v>2022.0</v>
      </c>
      <c r="B9" s="5"/>
      <c r="C9" s="5"/>
      <c r="D9" s="5"/>
      <c r="E9" s="5"/>
      <c r="F9" s="5"/>
    </row>
    <row r="10" ht="14.25" customHeight="1">
      <c r="A10" s="11" t="s">
        <v>114</v>
      </c>
      <c r="B10" s="25">
        <v>0.0</v>
      </c>
      <c r="C10" s="25">
        <v>25.0</v>
      </c>
      <c r="D10" s="25">
        <v>355.0</v>
      </c>
      <c r="E10" s="25">
        <v>285.0</v>
      </c>
      <c r="F10" s="25">
        <v>1031.0</v>
      </c>
    </row>
    <row r="11" ht="14.25" customHeight="1">
      <c r="A11" s="11" t="s">
        <v>115</v>
      </c>
      <c r="B11" s="25">
        <v>0.0</v>
      </c>
      <c r="C11" s="25">
        <v>34.0</v>
      </c>
      <c r="D11" s="25">
        <v>651.0</v>
      </c>
      <c r="E11" s="25">
        <v>798.0</v>
      </c>
      <c r="F11" s="25">
        <v>2052.0</v>
      </c>
    </row>
    <row r="12" ht="14.25" customHeight="1">
      <c r="A12" s="11" t="s">
        <v>116</v>
      </c>
      <c r="B12" s="25">
        <v>1.0</v>
      </c>
      <c r="C12" s="25">
        <v>25.0</v>
      </c>
      <c r="D12" s="25">
        <v>1383.0</v>
      </c>
      <c r="E12" s="25">
        <v>411.0</v>
      </c>
      <c r="F12" s="25">
        <v>3791.0</v>
      </c>
    </row>
    <row r="13" ht="14.25" customHeight="1">
      <c r="A13" s="11" t="s">
        <v>117</v>
      </c>
      <c r="B13" s="25">
        <v>32.0</v>
      </c>
      <c r="C13" s="25">
        <v>26.0</v>
      </c>
      <c r="D13" s="25">
        <v>1653.0</v>
      </c>
      <c r="E13" s="25">
        <v>153.0</v>
      </c>
      <c r="F13" s="25">
        <v>5834.0</v>
      </c>
    </row>
    <row r="14" ht="14.25" customHeight="1">
      <c r="A14" s="11">
        <v>2023.0</v>
      </c>
      <c r="B14" s="5"/>
      <c r="C14" s="5"/>
      <c r="D14" s="5"/>
      <c r="E14" s="5"/>
      <c r="F14" s="5"/>
    </row>
    <row r="15" ht="14.25" customHeight="1">
      <c r="A15" s="11" t="s">
        <v>114</v>
      </c>
      <c r="B15" s="25">
        <v>81.0</v>
      </c>
      <c r="C15" s="25">
        <v>75.0</v>
      </c>
      <c r="D15" s="25">
        <v>2020.0</v>
      </c>
      <c r="E15" s="25">
        <v>531.0</v>
      </c>
      <c r="F15" s="25">
        <v>5675.0</v>
      </c>
    </row>
    <row r="16" ht="14.25" customHeight="1">
      <c r="A16" s="11" t="s">
        <v>115</v>
      </c>
      <c r="B16" s="25">
        <v>113.0</v>
      </c>
      <c r="C16" s="25">
        <v>155.0</v>
      </c>
      <c r="D16" s="25">
        <v>3164.0</v>
      </c>
      <c r="E16" s="25">
        <v>635.0</v>
      </c>
      <c r="F16" s="25">
        <v>6192.0</v>
      </c>
    </row>
    <row r="17" ht="14.25" customHeight="1">
      <c r="A17" s="11" t="s">
        <v>116</v>
      </c>
      <c r="B17" s="25">
        <v>103.0</v>
      </c>
      <c r="C17" s="25">
        <v>191.0</v>
      </c>
      <c r="D17" s="25">
        <v>3378.0</v>
      </c>
      <c r="E17" s="25">
        <v>1165.0</v>
      </c>
      <c r="F17" s="25">
        <v>6651.0</v>
      </c>
    </row>
    <row r="18" ht="14.25" customHeight="1">
      <c r="A18" s="11" t="s">
        <v>117</v>
      </c>
      <c r="B18" s="25">
        <v>623.0</v>
      </c>
      <c r="C18" s="25">
        <v>155.0</v>
      </c>
      <c r="D18" s="25">
        <v>5243.0</v>
      </c>
      <c r="E18" s="25">
        <v>946.0</v>
      </c>
      <c r="F18" s="25">
        <v>9528.0</v>
      </c>
    </row>
    <row r="19" ht="14.25" customHeight="1">
      <c r="A19" s="11">
        <v>2024.0</v>
      </c>
      <c r="B19" s="5"/>
      <c r="C19" s="5"/>
      <c r="D19" s="5"/>
      <c r="E19" s="5"/>
      <c r="F19" s="5"/>
    </row>
    <row r="20" ht="14.25" customHeight="1">
      <c r="A20" s="11" t="s">
        <v>114</v>
      </c>
      <c r="B20" s="25">
        <v>406.0</v>
      </c>
      <c r="C20" s="25">
        <v>292.0</v>
      </c>
      <c r="D20" s="25">
        <v>10911.0</v>
      </c>
      <c r="E20" s="25">
        <v>1493.0</v>
      </c>
      <c r="F20" s="25">
        <v>7247.0</v>
      </c>
    </row>
    <row r="21" ht="14.25" customHeight="1">
      <c r="A21" s="11" t="s">
        <v>115</v>
      </c>
      <c r="B21" s="25">
        <v>310.0</v>
      </c>
      <c r="C21" s="25">
        <v>390.0</v>
      </c>
      <c r="D21" s="25">
        <v>5855.0</v>
      </c>
      <c r="E21" s="25">
        <v>2524.0</v>
      </c>
      <c r="F21" s="25">
        <v>10337.0</v>
      </c>
    </row>
    <row r="22" ht="14.25" customHeight="1">
      <c r="A22" s="11" t="s">
        <v>116</v>
      </c>
      <c r="B22" s="25">
        <v>350.0</v>
      </c>
      <c r="C22" s="25">
        <v>370.0</v>
      </c>
      <c r="D22" s="25">
        <v>4264.0</v>
      </c>
      <c r="E22" s="25">
        <v>2190.0</v>
      </c>
      <c r="F22" s="25">
        <v>13236.0</v>
      </c>
    </row>
    <row r="23" ht="14.25" customHeight="1">
      <c r="A23" s="11" t="s">
        <v>117</v>
      </c>
      <c r="B23" s="26">
        <v>400.0</v>
      </c>
      <c r="C23" s="26">
        <v>338.0</v>
      </c>
      <c r="D23" s="26">
        <v>2316.0</v>
      </c>
      <c r="E23" s="26">
        <v>2622.0</v>
      </c>
      <c r="F23" s="26">
        <v>17361.0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B10:F13 B15:F18 B20:F23">
    <cfRule type="colorScale" priority="1">
      <colorScale>
        <cfvo type="min"/>
        <cfvo type="percentile" val="50"/>
        <cfvo type="max"/>
        <color rgb="FFE2EFD9"/>
        <color rgb="FFC5E0B3"/>
        <color theme="9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7.25"/>
    <col customWidth="1" min="3" max="3" width="9.75"/>
    <col customWidth="1" min="4" max="26" width="7.63"/>
  </cols>
  <sheetData>
    <row r="1" ht="14.25" customHeight="1">
      <c r="A1" s="5" t="s">
        <v>118</v>
      </c>
    </row>
    <row r="2" ht="14.25" customHeight="1"/>
    <row r="3" ht="14.25" customHeight="1"/>
    <row r="4" ht="14.25" customHeight="1">
      <c r="A4" s="4" t="s">
        <v>5</v>
      </c>
    </row>
    <row r="5" ht="14.25" customHeight="1"/>
    <row r="6" ht="14.25" customHeight="1">
      <c r="A6" s="5" t="s">
        <v>3</v>
      </c>
      <c r="B6" s="5" t="s">
        <v>4</v>
      </c>
    </row>
    <row r="7" ht="14.25" customHeight="1"/>
    <row r="8" ht="14.25" customHeight="1">
      <c r="A8" s="18" t="s">
        <v>2</v>
      </c>
      <c r="B8" s="18" t="s">
        <v>113</v>
      </c>
      <c r="C8" s="18"/>
    </row>
    <row r="9" ht="14.25" customHeight="1">
      <c r="A9" s="18" t="s">
        <v>119</v>
      </c>
      <c r="B9" s="27" t="s">
        <v>79</v>
      </c>
      <c r="C9" s="28" t="s">
        <v>74</v>
      </c>
    </row>
    <row r="10" ht="14.25" customHeight="1">
      <c r="A10" s="11">
        <v>2022.0</v>
      </c>
      <c r="B10" s="12">
        <v>16535.0</v>
      </c>
      <c r="C10" s="12">
        <v>43111.0</v>
      </c>
    </row>
    <row r="11" ht="14.25" customHeight="1">
      <c r="A11" s="11">
        <v>2023.0</v>
      </c>
      <c r="B11" s="12">
        <v>44053.0</v>
      </c>
      <c r="C11" s="12">
        <v>108895.0</v>
      </c>
    </row>
    <row r="12" ht="14.25" customHeight="1">
      <c r="A12" s="11">
        <v>2024.0</v>
      </c>
      <c r="B12" s="13">
        <v>46724.0</v>
      </c>
      <c r="C12" s="13">
        <v>160989.0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B10:C12">
    <cfRule type="colorScale" priority="1">
      <colorScale>
        <cfvo type="min"/>
        <cfvo type="percentile" val="50"/>
        <cfvo type="max"/>
        <color rgb="FFE2EFD9"/>
        <color rgb="FFA8D08D"/>
        <color rgb="FF548135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14.5"/>
    <col customWidth="1" min="3" max="3" width="7.63"/>
    <col customWidth="1" min="4" max="4" width="16.38"/>
    <col customWidth="1" min="5" max="26" width="7.63"/>
  </cols>
  <sheetData>
    <row r="1" ht="14.25" customHeight="1">
      <c r="A1" s="5" t="s">
        <v>120</v>
      </c>
    </row>
    <row r="2" ht="14.25" customHeight="1"/>
    <row r="3" ht="14.25" customHeight="1">
      <c r="A3" s="4" t="s">
        <v>5</v>
      </c>
    </row>
    <row r="4" ht="14.25" customHeight="1">
      <c r="A4" s="5" t="s">
        <v>3</v>
      </c>
      <c r="B4" s="5" t="s">
        <v>20</v>
      </c>
    </row>
    <row r="5" ht="14.25" customHeight="1">
      <c r="A5" s="5" t="s">
        <v>64</v>
      </c>
      <c r="B5" s="5" t="s">
        <v>4</v>
      </c>
    </row>
    <row r="6" ht="14.25" customHeight="1"/>
    <row r="7" ht="14.25" customHeight="1">
      <c r="A7" s="14" t="s">
        <v>14</v>
      </c>
      <c r="B7" s="5" t="s">
        <v>15</v>
      </c>
      <c r="C7" s="5" t="s">
        <v>7</v>
      </c>
    </row>
    <row r="8" ht="14.25" customHeight="1">
      <c r="A8" s="11" t="s">
        <v>27</v>
      </c>
      <c r="B8" s="29">
        <v>1370.0</v>
      </c>
      <c r="C8" s="23">
        <v>11.409673645990857</v>
      </c>
    </row>
    <row r="9" ht="14.25" customHeight="1">
      <c r="A9" s="11" t="s">
        <v>53</v>
      </c>
      <c r="B9" s="29">
        <v>568.0</v>
      </c>
      <c r="C9" s="23">
        <v>9.712142642814275</v>
      </c>
    </row>
    <row r="10" ht="14.25" customHeight="1">
      <c r="A10" s="11" t="s">
        <v>29</v>
      </c>
      <c r="B10" s="29">
        <v>2419.0</v>
      </c>
      <c r="C10" s="23">
        <v>5.665151342936064</v>
      </c>
    </row>
    <row r="11" ht="14.25" customHeight="1">
      <c r="A11" s="11" t="s">
        <v>33</v>
      </c>
      <c r="B11" s="29">
        <v>2076.0</v>
      </c>
      <c r="C11" s="23">
        <v>2.554766326548573</v>
      </c>
    </row>
    <row r="12" ht="14.25" customHeight="1">
      <c r="A12" s="11" t="s">
        <v>39</v>
      </c>
      <c r="B12" s="30">
        <v>388.0</v>
      </c>
      <c r="C12" s="24">
        <v>2.3454906504588666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7.0"/>
    <col customWidth="1" min="3" max="26" width="7.63"/>
  </cols>
  <sheetData>
    <row r="1" ht="14.25" customHeight="1">
      <c r="A1" s="5" t="s">
        <v>121</v>
      </c>
    </row>
    <row r="2" ht="14.25" customHeight="1"/>
    <row r="3" ht="14.25" customHeight="1"/>
    <row r="4" ht="14.25" customHeight="1"/>
    <row r="5" ht="14.25" customHeight="1">
      <c r="A5" s="4" t="s">
        <v>5</v>
      </c>
    </row>
    <row r="6" ht="14.25" customHeight="1">
      <c r="A6" s="5" t="s">
        <v>3</v>
      </c>
      <c r="B6" s="5" t="s">
        <v>4</v>
      </c>
    </row>
    <row r="7" ht="14.25" customHeight="1"/>
    <row r="8" ht="14.25" customHeight="1">
      <c r="A8" s="18" t="s">
        <v>14</v>
      </c>
      <c r="B8" s="8" t="s">
        <v>7</v>
      </c>
    </row>
    <row r="9" ht="14.25" customHeight="1">
      <c r="A9" s="11" t="s">
        <v>93</v>
      </c>
      <c r="B9" s="23">
        <v>4.766281297335398</v>
      </c>
    </row>
    <row r="10" ht="14.25" customHeight="1">
      <c r="A10" s="11" t="s">
        <v>98</v>
      </c>
      <c r="B10" s="23">
        <v>2.295017884191656</v>
      </c>
    </row>
    <row r="11" ht="14.25" customHeight="1">
      <c r="A11" s="11" t="s">
        <v>94</v>
      </c>
      <c r="B11" s="23">
        <v>2.0</v>
      </c>
    </row>
    <row r="12" ht="14.25" customHeight="1">
      <c r="A12" s="11" t="s">
        <v>75</v>
      </c>
      <c r="B12" s="23">
        <v>1.6457513110645907</v>
      </c>
    </row>
    <row r="13" ht="14.25" customHeight="1">
      <c r="A13" s="11" t="s">
        <v>77</v>
      </c>
      <c r="B13" s="23">
        <v>1.5089166087427168</v>
      </c>
    </row>
    <row r="14" ht="14.25" customHeight="1">
      <c r="A14" s="11" t="s">
        <v>88</v>
      </c>
      <c r="B14" s="23">
        <v>1.506156293380939</v>
      </c>
    </row>
    <row r="15" ht="14.25" customHeight="1">
      <c r="A15" s="11" t="s">
        <v>83</v>
      </c>
      <c r="B15" s="23">
        <v>1.464483371867971</v>
      </c>
    </row>
    <row r="16" ht="14.25" customHeight="1">
      <c r="A16" s="11" t="s">
        <v>81</v>
      </c>
      <c r="B16" s="23">
        <v>1.3784749015162756</v>
      </c>
    </row>
    <row r="17" ht="14.25" customHeight="1">
      <c r="A17" s="11" t="s">
        <v>86</v>
      </c>
      <c r="B17" s="23">
        <v>1.3770490033633154</v>
      </c>
    </row>
    <row r="18" ht="14.25" customHeight="1">
      <c r="A18" s="11" t="s">
        <v>84</v>
      </c>
      <c r="B18" s="24">
        <v>1.3367086201195648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5"/>
    <col customWidth="1" min="3" max="26" width="7.63"/>
  </cols>
  <sheetData>
    <row r="1" ht="14.25" customHeight="1">
      <c r="A1" s="5" t="s">
        <v>122</v>
      </c>
    </row>
    <row r="2" ht="14.25" customHeight="1"/>
    <row r="3" ht="14.25" customHeight="1"/>
    <row r="4" ht="14.25" customHeight="1">
      <c r="A4" s="4" t="s">
        <v>5</v>
      </c>
    </row>
    <row r="5" ht="14.25" customHeight="1">
      <c r="A5" s="5" t="s">
        <v>3</v>
      </c>
      <c r="B5" s="5" t="s">
        <v>4</v>
      </c>
    </row>
    <row r="6" ht="14.25" customHeight="1"/>
    <row r="7" ht="14.25" customHeight="1">
      <c r="A7" s="5" t="s">
        <v>14</v>
      </c>
      <c r="B7" s="8" t="s">
        <v>15</v>
      </c>
    </row>
    <row r="8" ht="14.25" customHeight="1">
      <c r="A8" s="11" t="s">
        <v>42</v>
      </c>
      <c r="B8" s="5"/>
    </row>
    <row r="9" ht="14.25" customHeight="1">
      <c r="A9" s="11" t="s">
        <v>44</v>
      </c>
      <c r="B9" s="25">
        <v>31672.0</v>
      </c>
    </row>
    <row r="10" ht="14.25" customHeight="1">
      <c r="A10" s="11" t="s">
        <v>46</v>
      </c>
      <c r="B10" s="25">
        <v>38171.0</v>
      </c>
    </row>
    <row r="11" ht="14.25" customHeight="1">
      <c r="A11" s="11" t="s">
        <v>48</v>
      </c>
      <c r="B11" s="25">
        <v>58118.0</v>
      </c>
    </row>
    <row r="12" ht="14.25" customHeight="1">
      <c r="A12" s="11" t="s">
        <v>23</v>
      </c>
      <c r="B12" s="25">
        <v>55524.0</v>
      </c>
    </row>
    <row r="13" ht="14.25" customHeight="1">
      <c r="A13" s="11" t="s">
        <v>26</v>
      </c>
      <c r="B13" s="25">
        <v>45373.0</v>
      </c>
    </row>
    <row r="14" ht="14.25" customHeight="1">
      <c r="A14" s="11" t="s">
        <v>28</v>
      </c>
      <c r="B14" s="25">
        <v>47591.0</v>
      </c>
    </row>
    <row r="15" ht="14.25" customHeight="1">
      <c r="A15" s="11" t="s">
        <v>30</v>
      </c>
      <c r="B15" s="25">
        <v>50010.0</v>
      </c>
    </row>
    <row r="16" ht="14.25" customHeight="1">
      <c r="A16" s="11" t="s">
        <v>32</v>
      </c>
      <c r="B16" s="25">
        <v>55584.0</v>
      </c>
    </row>
    <row r="17" ht="14.25" customHeight="1">
      <c r="A17" s="11" t="s">
        <v>34</v>
      </c>
      <c r="B17" s="25">
        <v>56828.0</v>
      </c>
    </row>
    <row r="18" ht="14.25" customHeight="1">
      <c r="A18" s="11" t="s">
        <v>36</v>
      </c>
      <c r="B18" s="25">
        <v>81162.0</v>
      </c>
    </row>
    <row r="19" ht="14.25" customHeight="1">
      <c r="A19" s="11" t="s">
        <v>38</v>
      </c>
      <c r="B19" s="25">
        <v>80752.0</v>
      </c>
    </row>
    <row r="20" ht="14.25" customHeight="1">
      <c r="A20" s="11" t="s">
        <v>40</v>
      </c>
      <c r="B20" s="25">
        <v>68475.0</v>
      </c>
    </row>
    <row r="21" ht="14.25" customHeight="1">
      <c r="A21" s="11" t="s">
        <v>54</v>
      </c>
      <c r="B21" s="5"/>
    </row>
    <row r="22" ht="14.25" customHeight="1">
      <c r="A22" s="11" t="s">
        <v>44</v>
      </c>
      <c r="B22" s="25">
        <v>68116.0</v>
      </c>
    </row>
    <row r="23" ht="14.25" customHeight="1">
      <c r="A23" s="11" t="s">
        <v>46</v>
      </c>
      <c r="B23" s="25">
        <v>70827.0</v>
      </c>
    </row>
    <row r="24" ht="14.25" customHeight="1">
      <c r="A24" s="11" t="s">
        <v>48</v>
      </c>
      <c r="B24" s="25">
        <v>95126.0</v>
      </c>
    </row>
    <row r="25" ht="14.25" customHeight="1">
      <c r="A25" s="11" t="s">
        <v>23</v>
      </c>
      <c r="B25" s="25">
        <v>72818.0</v>
      </c>
    </row>
    <row r="26" ht="14.25" customHeight="1">
      <c r="A26" s="11" t="s">
        <v>26</v>
      </c>
      <c r="B26" s="25">
        <v>112997.0</v>
      </c>
    </row>
    <row r="27" ht="14.25" customHeight="1">
      <c r="A27" s="11" t="s">
        <v>28</v>
      </c>
      <c r="B27" s="25">
        <v>53631.0</v>
      </c>
    </row>
    <row r="28" ht="14.25" customHeight="1">
      <c r="A28" s="11" t="s">
        <v>30</v>
      </c>
      <c r="B28" s="25">
        <v>61622.0</v>
      </c>
    </row>
    <row r="29" ht="14.25" customHeight="1">
      <c r="A29" s="11" t="s">
        <v>32</v>
      </c>
      <c r="B29" s="25">
        <v>69224.0</v>
      </c>
    </row>
    <row r="30" ht="14.25" customHeight="1">
      <c r="A30" s="11" t="s">
        <v>34</v>
      </c>
      <c r="B30" s="25">
        <v>69793.0</v>
      </c>
    </row>
    <row r="31" ht="14.25" customHeight="1">
      <c r="A31" s="11" t="s">
        <v>36</v>
      </c>
      <c r="B31" s="25">
        <v>81833.0</v>
      </c>
    </row>
    <row r="32" ht="14.25" customHeight="1">
      <c r="A32" s="11" t="s">
        <v>38</v>
      </c>
      <c r="B32" s="25">
        <v>98285.0</v>
      </c>
    </row>
    <row r="33" ht="14.25" customHeight="1">
      <c r="A33" s="11" t="s">
        <v>40</v>
      </c>
      <c r="B33" s="25">
        <v>82685.0</v>
      </c>
    </row>
    <row r="34" ht="14.25" customHeight="1">
      <c r="A34" s="11" t="s">
        <v>55</v>
      </c>
      <c r="B34" s="5"/>
    </row>
    <row r="35" ht="14.25" customHeight="1">
      <c r="A35" s="11" t="s">
        <v>44</v>
      </c>
      <c r="B35" s="25">
        <v>89311.0</v>
      </c>
    </row>
    <row r="36" ht="14.25" customHeight="1">
      <c r="A36" s="11" t="s">
        <v>46</v>
      </c>
      <c r="B36" s="25">
        <v>89051.0</v>
      </c>
    </row>
    <row r="37" ht="14.25" customHeight="1">
      <c r="A37" s="11" t="s">
        <v>48</v>
      </c>
      <c r="B37" s="26">
        <v>138343.0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15.5"/>
    <col customWidth="1" min="3" max="3" width="6.75"/>
    <col customWidth="1" min="4" max="5" width="12.63"/>
    <col customWidth="1" min="6" max="6" width="12.38"/>
    <col customWidth="1" min="7" max="7" width="22.25"/>
    <col customWidth="1" min="8" max="26" width="7.63"/>
  </cols>
  <sheetData>
    <row r="1" ht="14.25" customHeight="1">
      <c r="A1" s="5" t="s">
        <v>123</v>
      </c>
    </row>
    <row r="2" ht="14.25" customHeight="1">
      <c r="A2" s="5" t="s">
        <v>124</v>
      </c>
    </row>
    <row r="3" ht="14.25" customHeight="1"/>
    <row r="4" ht="14.25" customHeight="1"/>
    <row r="5" ht="14.25" customHeight="1">
      <c r="A5" s="4" t="s">
        <v>5</v>
      </c>
    </row>
    <row r="6" ht="14.25" customHeight="1">
      <c r="A6" s="5" t="s">
        <v>64</v>
      </c>
      <c r="B6" s="5" t="s">
        <v>4</v>
      </c>
    </row>
    <row r="7" ht="14.25" customHeight="1">
      <c r="A7" s="5" t="s">
        <v>3</v>
      </c>
      <c r="B7" s="5" t="s">
        <v>4</v>
      </c>
    </row>
    <row r="8" ht="14.25" customHeight="1"/>
    <row r="9" ht="14.25" customHeight="1">
      <c r="A9" s="18" t="s">
        <v>69</v>
      </c>
      <c r="B9" s="18" t="s">
        <v>125</v>
      </c>
      <c r="C9" s="18" t="s">
        <v>7</v>
      </c>
      <c r="D9" s="18" t="s">
        <v>126</v>
      </c>
      <c r="E9" s="18" t="s">
        <v>127</v>
      </c>
      <c r="F9" s="18" t="s">
        <v>128</v>
      </c>
      <c r="G9" s="18" t="s">
        <v>70</v>
      </c>
    </row>
    <row r="10" ht="14.25" customHeight="1">
      <c r="A10" s="11" t="s">
        <v>83</v>
      </c>
      <c r="B10" s="23">
        <v>0.09843476521478221</v>
      </c>
      <c r="C10" s="23">
        <v>1.464483371867971</v>
      </c>
      <c r="D10" s="12">
        <v>1778.0</v>
      </c>
      <c r="E10" s="12">
        <v>7107.0</v>
      </c>
      <c r="F10" s="12">
        <v>10799.0</v>
      </c>
      <c r="G10" s="19">
        <v>1592361.5013216268</v>
      </c>
    </row>
    <row r="11" ht="14.25" customHeight="1">
      <c r="A11" s="11" t="s">
        <v>74</v>
      </c>
      <c r="B11" s="23">
        <v>0.07835984466978058</v>
      </c>
      <c r="C11" s="23">
        <v>0.9324312542223172</v>
      </c>
      <c r="D11" s="12">
        <v>43111.0</v>
      </c>
      <c r="E11" s="12">
        <v>108895.0</v>
      </c>
      <c r="F11" s="12">
        <v>160989.0</v>
      </c>
      <c r="G11" s="19">
        <v>5670642.348697931</v>
      </c>
    </row>
    <row r="12" ht="14.25" customHeight="1">
      <c r="A12" s="11" t="s">
        <v>79</v>
      </c>
      <c r="B12" s="23">
        <v>0.06755827745027183</v>
      </c>
      <c r="C12" s="23">
        <v>0.6810007530938307</v>
      </c>
      <c r="D12" s="12">
        <v>16535.0</v>
      </c>
      <c r="E12" s="12">
        <v>44053.0</v>
      </c>
      <c r="F12" s="12">
        <v>46724.0</v>
      </c>
      <c r="G12" s="19">
        <v>993992.1100693203</v>
      </c>
    </row>
    <row r="13" ht="14.25" customHeight="1">
      <c r="A13" s="11" t="s">
        <v>76</v>
      </c>
      <c r="B13" s="23">
        <v>0.06596457183669895</v>
      </c>
      <c r="C13" s="23">
        <v>1.3283195498243554</v>
      </c>
      <c r="D13" s="12">
        <v>13639.0</v>
      </c>
      <c r="E13" s="12">
        <v>49483.0</v>
      </c>
      <c r="F13" s="12">
        <v>73938.0</v>
      </c>
      <c r="G13" s="19">
        <v>7883363.09857058</v>
      </c>
    </row>
    <row r="14" ht="14.25" customHeight="1">
      <c r="A14" s="11" t="s">
        <v>78</v>
      </c>
      <c r="B14" s="23">
        <v>0.06491020382274382</v>
      </c>
      <c r="C14" s="23">
        <v>1.0188930675434626</v>
      </c>
      <c r="D14" s="12">
        <v>48374.0</v>
      </c>
      <c r="E14" s="12">
        <v>150502.0</v>
      </c>
      <c r="F14" s="12">
        <v>197169.0</v>
      </c>
      <c r="G14" s="19">
        <v>1.0191126016601274E7</v>
      </c>
    </row>
    <row r="15" ht="14.25" customHeight="1">
      <c r="A15" s="11" t="s">
        <v>80</v>
      </c>
      <c r="B15" s="23">
        <v>0.04634490648356164</v>
      </c>
      <c r="C15" s="23">
        <v>1.0294214135936408</v>
      </c>
      <c r="D15" s="12">
        <v>9498.0</v>
      </c>
      <c r="E15" s="12">
        <v>29651.0</v>
      </c>
      <c r="F15" s="12">
        <v>39118.0</v>
      </c>
      <c r="G15" s="19">
        <v>2071441.9928784696</v>
      </c>
    </row>
    <row r="16" ht="14.25" customHeight="1">
      <c r="A16" s="11" t="s">
        <v>82</v>
      </c>
      <c r="B16" s="23">
        <v>0.045460880743719526</v>
      </c>
      <c r="C16" s="23">
        <v>0.8187388548260757</v>
      </c>
      <c r="D16" s="12">
        <v>20087.0</v>
      </c>
      <c r="E16" s="12">
        <v>63835.0</v>
      </c>
      <c r="F16" s="12">
        <v>66444.0</v>
      </c>
      <c r="G16" s="19">
        <v>2310366.787090609</v>
      </c>
    </row>
    <row r="17" ht="14.25" customHeight="1">
      <c r="A17" s="11" t="s">
        <v>72</v>
      </c>
      <c r="B17" s="23">
        <v>0.04396721795464412</v>
      </c>
      <c r="C17" s="23">
        <v>1.1632964026833315</v>
      </c>
      <c r="D17" s="12">
        <v>18026.0</v>
      </c>
      <c r="E17" s="12">
        <v>79004.0</v>
      </c>
      <c r="F17" s="12">
        <v>84359.0</v>
      </c>
      <c r="G17" s="19">
        <v>8097393.578429035</v>
      </c>
    </row>
    <row r="18" ht="14.25" customHeight="1">
      <c r="A18" s="11" t="s">
        <v>97</v>
      </c>
      <c r="B18" s="23">
        <v>0.04300223348865942</v>
      </c>
      <c r="C18" s="23">
        <v>0.599531304272706</v>
      </c>
      <c r="D18" s="12">
        <v>36863.0</v>
      </c>
      <c r="E18" s="12">
        <v>68885.0</v>
      </c>
      <c r="F18" s="12">
        <v>94314.0</v>
      </c>
      <c r="G18" s="19">
        <v>1153668.745049408</v>
      </c>
    </row>
    <row r="19" ht="14.25" customHeight="1">
      <c r="A19" s="11" t="s">
        <v>75</v>
      </c>
      <c r="B19" s="24">
        <v>0.04041246899592737</v>
      </c>
      <c r="C19" s="24">
        <v>1.6457513110645907</v>
      </c>
      <c r="D19" s="13">
        <v>411.0</v>
      </c>
      <c r="E19" s="13">
        <v>1991.0</v>
      </c>
      <c r="F19" s="13">
        <v>2877.0</v>
      </c>
      <c r="G19" s="20">
        <v>682913.0000000003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>
      <c r="A30" s="5"/>
    </row>
    <row r="31" ht="14.25" customHeight="1">
      <c r="A31" s="5"/>
      <c r="B31" s="5"/>
    </row>
    <row r="32" ht="14.25" customHeight="1">
      <c r="A32" s="5"/>
      <c r="B32" s="5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D10:F19">
    <cfRule type="colorScale" priority="1">
      <colorScale>
        <cfvo type="min"/>
        <cfvo type="percentile" val="50"/>
        <cfvo type="max"/>
        <color rgb="FFE2EFD9"/>
        <color rgb="FFA8D08D"/>
        <color rgb="FF63BE7B"/>
      </colorScale>
    </cfRule>
  </conditionalFormatting>
  <conditionalFormatting sqref="G10:G19">
    <cfRule type="colorScale" priority="2">
      <colorScale>
        <cfvo type="min"/>
        <cfvo type="percentile" val="50"/>
        <cfvo type="max"/>
        <color rgb="FFE2EFD9"/>
        <color rgb="FFA8D08D"/>
        <color rgb="FF548135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88"/>
    <col customWidth="1" min="2" max="5" width="23.5"/>
    <col customWidth="1" min="6" max="26" width="7.63"/>
  </cols>
  <sheetData>
    <row r="1" ht="14.25" customHeight="1">
      <c r="A1" s="5" t="s">
        <v>129</v>
      </c>
    </row>
    <row r="2" ht="14.25" customHeight="1"/>
    <row r="3" ht="14.25" customHeight="1"/>
    <row r="4" ht="14.25" customHeight="1">
      <c r="A4" s="4" t="s">
        <v>5</v>
      </c>
    </row>
    <row r="5" ht="14.25" customHeight="1">
      <c r="A5" s="5" t="s">
        <v>3</v>
      </c>
      <c r="B5" s="5" t="s">
        <v>4</v>
      </c>
    </row>
    <row r="6" ht="14.25" customHeight="1"/>
    <row r="7" ht="14.25" customHeight="1">
      <c r="A7" s="5" t="s">
        <v>14</v>
      </c>
      <c r="B7" s="5" t="s">
        <v>130</v>
      </c>
      <c r="C7" s="5" t="s">
        <v>131</v>
      </c>
      <c r="D7" s="5" t="s">
        <v>132</v>
      </c>
      <c r="E7" s="5" t="s">
        <v>133</v>
      </c>
    </row>
    <row r="8" ht="14.25" customHeight="1">
      <c r="A8" s="11" t="s">
        <v>67</v>
      </c>
      <c r="B8" s="31">
        <v>0.0</v>
      </c>
      <c r="C8" s="31">
        <v>0.17647058823529413</v>
      </c>
      <c r="D8" s="23">
        <v>2.3333333333333335</v>
      </c>
      <c r="E8" s="32">
        <v>-0.09090909090909091</v>
      </c>
    </row>
    <row r="9" ht="14.25" customHeight="1">
      <c r="A9" s="11" t="s">
        <v>68</v>
      </c>
      <c r="B9" s="31">
        <v>1.3284812476791683</v>
      </c>
      <c r="C9" s="31">
        <v>0.07076261056657901</v>
      </c>
      <c r="D9" s="23">
        <v>29.43980582524272</v>
      </c>
      <c r="E9" s="32">
        <v>66.7170626349892</v>
      </c>
    </row>
    <row r="10" ht="14.25" customHeight="1">
      <c r="A10" s="11" t="s">
        <v>134</v>
      </c>
      <c r="B10" s="31">
        <v>0.0</v>
      </c>
      <c r="C10" s="31">
        <v>2.0</v>
      </c>
      <c r="D10" s="23">
        <v>2.0</v>
      </c>
      <c r="E10" s="32">
        <v>0.0</v>
      </c>
    </row>
    <row r="11" ht="14.25" customHeight="1">
      <c r="A11" s="11" t="s">
        <v>71</v>
      </c>
      <c r="B11" s="31">
        <v>3.4061196105702365</v>
      </c>
      <c r="C11" s="31">
        <v>0.5260115606936416</v>
      </c>
      <c r="D11" s="23">
        <v>26.547826086956523</v>
      </c>
      <c r="E11" s="32">
        <v>287.0</v>
      </c>
    </row>
    <row r="12" ht="14.25" customHeight="1">
      <c r="A12" s="11" t="s">
        <v>73</v>
      </c>
      <c r="B12" s="31">
        <v>2.024421052631579</v>
      </c>
      <c r="C12" s="31">
        <v>0.31749816581071166</v>
      </c>
      <c r="D12" s="23">
        <v>65.20276497695852</v>
      </c>
      <c r="E12" s="32">
        <v>180.84810126582278</v>
      </c>
    </row>
    <row r="13" ht="14.25" customHeight="1">
      <c r="A13" s="11" t="s">
        <v>75</v>
      </c>
      <c r="B13" s="31">
        <v>5.493006993006993</v>
      </c>
      <c r="C13" s="31">
        <v>0.22898742554599602</v>
      </c>
      <c r="D13" s="23">
        <v>2.86875</v>
      </c>
      <c r="E13" s="32">
        <v>13.856</v>
      </c>
    </row>
    <row r="14" ht="14.25" customHeight="1">
      <c r="A14" s="11" t="s">
        <v>77</v>
      </c>
      <c r="B14" s="31">
        <v>5.181014952424105</v>
      </c>
      <c r="C14" s="31">
        <v>0.3511786846275753</v>
      </c>
      <c r="D14" s="23">
        <v>49.71189591078067</v>
      </c>
      <c r="E14" s="32">
        <v>226.35833333333332</v>
      </c>
    </row>
    <row r="15" ht="14.25" customHeight="1">
      <c r="A15" s="11" t="s">
        <v>79</v>
      </c>
      <c r="B15" s="31">
        <v>1.6717632206480573</v>
      </c>
      <c r="C15" s="31">
        <v>0.03443219464508771</v>
      </c>
      <c r="D15" s="23">
        <v>4.271066832710669</v>
      </c>
      <c r="E15" s="32">
        <v>15.729907773386035</v>
      </c>
    </row>
    <row r="16" ht="14.25" customHeight="1">
      <c r="A16" s="11" t="s">
        <v>81</v>
      </c>
      <c r="B16" s="31">
        <v>3.966666666666667</v>
      </c>
      <c r="C16" s="31">
        <v>0.46078431372549017</v>
      </c>
      <c r="D16" s="23">
        <v>6.45</v>
      </c>
      <c r="E16" s="32">
        <v>28.8</v>
      </c>
    </row>
    <row r="17" ht="14.25" customHeight="1">
      <c r="A17" s="11" t="s">
        <v>83</v>
      </c>
      <c r="B17" s="31">
        <v>5.769230769230769</v>
      </c>
      <c r="C17" s="31">
        <v>0.5207846800560486</v>
      </c>
      <c r="D17" s="23">
        <v>13.280701754385966</v>
      </c>
      <c r="E17" s="32">
        <v>28.15820895522388</v>
      </c>
    </row>
    <row r="18" ht="14.25" customHeight="1">
      <c r="A18" s="11" t="s">
        <v>72</v>
      </c>
      <c r="B18" s="31">
        <v>3.5995346894947207</v>
      </c>
      <c r="C18" s="31">
        <v>0.018628124504571155</v>
      </c>
      <c r="D18" s="23">
        <v>22.279589371980677</v>
      </c>
      <c r="E18" s="32">
        <v>60.04671417260491</v>
      </c>
    </row>
    <row r="19" ht="14.25" customHeight="1">
      <c r="A19" s="11" t="s">
        <v>85</v>
      </c>
      <c r="B19" s="31">
        <v>0.5562640013785973</v>
      </c>
      <c r="C19" s="31">
        <v>-0.2161270723027515</v>
      </c>
      <c r="D19" s="23">
        <v>4.800256904303147</v>
      </c>
      <c r="E19" s="32">
        <v>72.42276422764228</v>
      </c>
    </row>
    <row r="20" ht="14.25" customHeight="1">
      <c r="A20" s="11" t="s">
        <v>87</v>
      </c>
      <c r="B20" s="31">
        <v>1.0943396226415094</v>
      </c>
      <c r="C20" s="31">
        <v>-0.1453320500481232</v>
      </c>
      <c r="D20" s="23">
        <v>12.661538461538461</v>
      </c>
      <c r="E20" s="32">
        <v>45.73684210526316</v>
      </c>
    </row>
    <row r="21" ht="14.25" customHeight="1">
      <c r="A21" s="11" t="s">
        <v>89</v>
      </c>
      <c r="B21" s="31">
        <v>0.4929478138222849</v>
      </c>
      <c r="C21" s="31">
        <v>-0.03244972577696526</v>
      </c>
      <c r="D21" s="23">
        <v>31.075757575757574</v>
      </c>
      <c r="E21" s="32">
        <v>131.3125</v>
      </c>
    </row>
    <row r="22" ht="14.25" customHeight="1">
      <c r="A22" s="11" t="s">
        <v>90</v>
      </c>
      <c r="B22" s="31">
        <v>1.7789909638554218</v>
      </c>
      <c r="C22" s="31">
        <v>-0.035037259772519286</v>
      </c>
      <c r="D22" s="23">
        <v>26.438661710037174</v>
      </c>
      <c r="E22" s="32">
        <v>128.49122807017545</v>
      </c>
    </row>
    <row r="23" ht="14.25" customHeight="1">
      <c r="A23" s="11" t="s">
        <v>74</v>
      </c>
      <c r="B23" s="31">
        <v>2.588134115024953</v>
      </c>
      <c r="C23" s="31">
        <v>0.438809014960171</v>
      </c>
      <c r="D23" s="23">
        <v>23.87170445004198</v>
      </c>
      <c r="E23" s="32">
        <v>79.8025095471904</v>
      </c>
    </row>
    <row r="24" ht="14.25" customHeight="1">
      <c r="A24" s="11" t="s">
        <v>76</v>
      </c>
      <c r="B24" s="31">
        <v>4.679000438404208</v>
      </c>
      <c r="C24" s="31">
        <v>0.45813728359485806</v>
      </c>
      <c r="D24" s="23">
        <v>11.790086887835702</v>
      </c>
      <c r="E24" s="32">
        <v>27.992390331244405</v>
      </c>
    </row>
    <row r="25" ht="14.25" customHeight="1">
      <c r="A25" s="11" t="s">
        <v>91</v>
      </c>
      <c r="B25" s="31">
        <v>1.5833333333333333</v>
      </c>
      <c r="C25" s="31">
        <v>1.0666666666666667</v>
      </c>
      <c r="D25" s="23">
        <v>2.1</v>
      </c>
      <c r="E25" s="32">
        <v>0.0</v>
      </c>
    </row>
    <row r="26" ht="14.25" customHeight="1">
      <c r="A26" s="11" t="s">
        <v>84</v>
      </c>
      <c r="B26" s="31">
        <v>4.431960375391032</v>
      </c>
      <c r="C26" s="31">
        <v>0.5425673674859343</v>
      </c>
      <c r="D26" s="23">
        <v>49.5752427184466</v>
      </c>
      <c r="E26" s="32">
        <v>169.79508196721312</v>
      </c>
    </row>
    <row r="27" ht="14.25" customHeight="1">
      <c r="A27" s="11" t="s">
        <v>78</v>
      </c>
      <c r="B27" s="31">
        <v>3.3684700379447774</v>
      </c>
      <c r="C27" s="31">
        <v>0.31872343491102945</v>
      </c>
      <c r="D27" s="23">
        <v>14.656175162504276</v>
      </c>
      <c r="E27" s="32">
        <v>27.288054396538403</v>
      </c>
    </row>
    <row r="28" ht="14.25" customHeight="1">
      <c r="A28" s="11" t="s">
        <v>92</v>
      </c>
      <c r="B28" s="31">
        <v>2.52</v>
      </c>
      <c r="C28" s="31">
        <v>-0.3669064748201439</v>
      </c>
      <c r="D28" s="23">
        <v>8.777777777777779</v>
      </c>
      <c r="E28" s="32">
        <v>0.0</v>
      </c>
    </row>
    <row r="29" ht="14.25" customHeight="1">
      <c r="A29" s="11" t="s">
        <v>93</v>
      </c>
      <c r="B29" s="31">
        <v>0.0</v>
      </c>
      <c r="C29" s="31">
        <v>2.6551724137931036</v>
      </c>
      <c r="D29" s="23">
        <v>8.636363636363637</v>
      </c>
      <c r="E29" s="32">
        <v>25.5</v>
      </c>
    </row>
    <row r="30" ht="14.25" customHeight="1">
      <c r="A30" s="11" t="s">
        <v>135</v>
      </c>
      <c r="B30" s="31">
        <v>0.0</v>
      </c>
      <c r="C30" s="31">
        <v>3.2153846153846155</v>
      </c>
      <c r="D30" s="23">
        <v>0.0</v>
      </c>
      <c r="E30" s="32">
        <v>0.0</v>
      </c>
    </row>
    <row r="31" ht="14.25" customHeight="1">
      <c r="A31" s="11" t="s">
        <v>94</v>
      </c>
      <c r="B31" s="31">
        <v>4.0</v>
      </c>
      <c r="C31" s="31">
        <v>0.6666666666666666</v>
      </c>
      <c r="D31" s="23">
        <v>0.0</v>
      </c>
      <c r="E31" s="32">
        <v>0.0</v>
      </c>
    </row>
    <row r="32" ht="14.25" customHeight="1">
      <c r="A32" s="11" t="s">
        <v>80</v>
      </c>
      <c r="B32" s="31">
        <v>3.0197712942182324</v>
      </c>
      <c r="C32" s="31">
        <v>0.2919657884793735</v>
      </c>
      <c r="D32" s="23">
        <v>68.91263940520446</v>
      </c>
      <c r="E32" s="32">
        <v>265.7588652482269</v>
      </c>
    </row>
    <row r="33" ht="14.25" customHeight="1">
      <c r="A33" s="11" t="s">
        <v>95</v>
      </c>
      <c r="B33" s="31">
        <v>3.131396957123098</v>
      </c>
      <c r="C33" s="31">
        <v>0.8070175438596491</v>
      </c>
      <c r="D33" s="23">
        <v>57.568627450980394</v>
      </c>
      <c r="E33" s="32">
        <v>270.54545454545456</v>
      </c>
    </row>
    <row r="34" ht="14.25" customHeight="1">
      <c r="A34" s="11" t="s">
        <v>96</v>
      </c>
      <c r="B34" s="31">
        <v>1.2541843338540504</v>
      </c>
      <c r="C34" s="31">
        <v>0.25478260869565217</v>
      </c>
      <c r="D34" s="23">
        <v>176.21052631578948</v>
      </c>
      <c r="E34" s="32">
        <v>213.91489361702128</v>
      </c>
    </row>
    <row r="35" ht="14.25" customHeight="1">
      <c r="A35" s="11" t="s">
        <v>82</v>
      </c>
      <c r="B35" s="31">
        <v>2.1746828889464145</v>
      </c>
      <c r="C35" s="31">
        <v>-0.007638652878250878</v>
      </c>
      <c r="D35" s="23">
        <v>28.999510763209393</v>
      </c>
      <c r="E35" s="32">
        <v>78.42875647668394</v>
      </c>
    </row>
    <row r="36" ht="14.25" customHeight="1">
      <c r="A36" s="11" t="s">
        <v>136</v>
      </c>
      <c r="B36" s="31">
        <v>0.0</v>
      </c>
      <c r="C36" s="31">
        <v>0.0</v>
      </c>
      <c r="D36" s="23">
        <v>0.0</v>
      </c>
      <c r="E36" s="32">
        <v>0.0</v>
      </c>
    </row>
    <row r="37" ht="14.25" customHeight="1">
      <c r="A37" s="11" t="s">
        <v>97</v>
      </c>
      <c r="B37" s="31">
        <v>1.449897693191692</v>
      </c>
      <c r="C37" s="31">
        <v>0.3288887537439375</v>
      </c>
      <c r="D37" s="23">
        <v>27.086439588688947</v>
      </c>
      <c r="E37" s="32">
        <v>72.69730185497471</v>
      </c>
    </row>
    <row r="38" ht="14.25" customHeight="1">
      <c r="A38" s="11" t="s">
        <v>98</v>
      </c>
      <c r="B38" s="31">
        <v>8.75</v>
      </c>
      <c r="C38" s="31">
        <v>0.23529411764705882</v>
      </c>
      <c r="D38" s="23">
        <v>29.333333333333332</v>
      </c>
      <c r="E38" s="32">
        <v>0.0</v>
      </c>
    </row>
    <row r="39" ht="14.25" customHeight="1">
      <c r="A39" s="11" t="s">
        <v>86</v>
      </c>
      <c r="B39" s="31">
        <v>4.198277568798257</v>
      </c>
      <c r="C39" s="31">
        <v>0.9778907721280603</v>
      </c>
      <c r="D39" s="23">
        <v>77.02823179791976</v>
      </c>
      <c r="E39" s="32">
        <v>436.60833333333335</v>
      </c>
    </row>
    <row r="40" ht="14.25" customHeight="1">
      <c r="A40" s="11" t="s">
        <v>99</v>
      </c>
      <c r="B40" s="31">
        <v>2.042676501580611</v>
      </c>
      <c r="C40" s="31">
        <v>-0.08536585365853659</v>
      </c>
      <c r="D40" s="23">
        <v>13.510050251256281</v>
      </c>
      <c r="E40" s="32">
        <v>30.906077348066297</v>
      </c>
    </row>
    <row r="41" ht="14.25" customHeight="1">
      <c r="A41" s="11" t="s">
        <v>88</v>
      </c>
      <c r="B41" s="33">
        <v>5.182620202911337</v>
      </c>
      <c r="C41" s="33">
        <v>0.4630480167014614</v>
      </c>
      <c r="D41" s="24">
        <v>8.79454926624738</v>
      </c>
      <c r="E41" s="34">
        <v>32.5311004784689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5.63"/>
    <col customWidth="1" min="3" max="3" width="28.25"/>
    <col customWidth="1" min="4" max="4" width="7.5"/>
    <col customWidth="1" min="5" max="5" width="16.5"/>
    <col customWidth="1" min="6" max="6" width="23.0"/>
    <col customWidth="1" min="7" max="26" width="7.63"/>
  </cols>
  <sheetData>
    <row r="1" ht="14.25" customHeight="1">
      <c r="A1" s="5"/>
    </row>
    <row r="2" ht="14.25" customHeight="1"/>
    <row r="3" ht="14.25" customHeight="1">
      <c r="A3" s="1" t="s">
        <v>137</v>
      </c>
    </row>
    <row r="4" ht="14.25" customHeight="1"/>
    <row r="5" ht="14.25" customHeight="1">
      <c r="A5" s="5"/>
      <c r="B5" s="5"/>
    </row>
    <row r="6" ht="14.25" customHeight="1">
      <c r="A6" s="1" t="s">
        <v>138</v>
      </c>
    </row>
    <row r="7" ht="14.25" customHeight="1">
      <c r="A7" s="1" t="s">
        <v>139</v>
      </c>
    </row>
    <row r="8" ht="14.25" customHeight="1">
      <c r="A8" s="1" t="s">
        <v>140</v>
      </c>
    </row>
    <row r="9" ht="14.25" customHeight="1"/>
    <row r="10" ht="14.25" customHeight="1"/>
    <row r="11" ht="14.25" customHeight="1"/>
    <row r="12" ht="13.5" customHeight="1"/>
    <row r="13" ht="14.25" customHeight="1">
      <c r="A13" s="1" t="s">
        <v>141</v>
      </c>
    </row>
    <row r="14" ht="14.25" customHeight="1"/>
    <row r="15" ht="14.25" customHeight="1">
      <c r="A15" s="4" t="s">
        <v>5</v>
      </c>
    </row>
    <row r="16" ht="14.25" customHeight="1">
      <c r="A16" s="5" t="s">
        <v>3</v>
      </c>
      <c r="B16" s="5" t="s">
        <v>4</v>
      </c>
    </row>
    <row r="17" ht="14.25" customHeight="1"/>
    <row r="18" ht="14.25" customHeight="1">
      <c r="A18" s="18" t="s">
        <v>142</v>
      </c>
      <c r="B18" s="18" t="s">
        <v>66</v>
      </c>
      <c r="C18" s="18" t="s">
        <v>61</v>
      </c>
      <c r="D18" s="18" t="s">
        <v>2</v>
      </c>
      <c r="E18" s="18" t="s">
        <v>65</v>
      </c>
    </row>
    <row r="19" ht="14.25" customHeight="1">
      <c r="A19" s="11" t="s">
        <v>79</v>
      </c>
      <c r="B19" s="35">
        <v>0.06755827745027183</v>
      </c>
      <c r="C19" s="5">
        <v>1886.0</v>
      </c>
      <c r="D19" s="12">
        <v>107312.0</v>
      </c>
      <c r="E19" s="12">
        <v>1588436.0</v>
      </c>
    </row>
    <row r="20" ht="14.25" customHeight="1">
      <c r="A20" s="11" t="s">
        <v>83</v>
      </c>
      <c r="B20" s="35">
        <v>0.09843476521478221</v>
      </c>
      <c r="C20" s="5">
        <v>113.0</v>
      </c>
      <c r="D20" s="12">
        <v>19684.0</v>
      </c>
      <c r="E20" s="12">
        <v>199970.0</v>
      </c>
    </row>
    <row r="21" ht="14.25" customHeight="1">
      <c r="A21" s="11" t="s">
        <v>74</v>
      </c>
      <c r="B21" s="35">
        <v>0.07835984466978058</v>
      </c>
      <c r="C21" s="5">
        <v>1041.0</v>
      </c>
      <c r="D21" s="12">
        <v>312995.0</v>
      </c>
      <c r="E21" s="12">
        <v>3994329.0</v>
      </c>
    </row>
    <row r="22" ht="14.25" customHeight="1">
      <c r="A22" s="11" t="s">
        <v>76</v>
      </c>
      <c r="B22" s="35">
        <v>0.06596457183669895</v>
      </c>
      <c r="C22" s="5">
        <v>852.0</v>
      </c>
      <c r="D22" s="12">
        <v>137060.0</v>
      </c>
      <c r="E22" s="12">
        <v>2077782.0</v>
      </c>
    </row>
    <row r="23" ht="14.25" customHeight="1">
      <c r="A23" s="11" t="s">
        <v>78</v>
      </c>
      <c r="B23" s="36">
        <v>0.06491020382274382</v>
      </c>
      <c r="C23" s="16">
        <v>3079.0</v>
      </c>
      <c r="D23" s="13">
        <v>396045.0</v>
      </c>
      <c r="E23" s="13">
        <v>6101429.0</v>
      </c>
    </row>
    <row r="24" ht="14.25" customHeight="1"/>
    <row r="25" ht="14.25" customHeight="1"/>
    <row r="26" ht="14.25" customHeight="1"/>
    <row r="27" ht="14.25" customHeight="1"/>
    <row r="28" ht="14.25" customHeight="1">
      <c r="A28" s="37" t="s">
        <v>142</v>
      </c>
      <c r="B28" s="37" t="s">
        <v>66</v>
      </c>
      <c r="C28" s="37" t="s">
        <v>61</v>
      </c>
    </row>
    <row r="29" ht="14.25" customHeight="1">
      <c r="A29" s="1" t="s">
        <v>79</v>
      </c>
      <c r="B29" s="38">
        <v>0.0675582774502718</v>
      </c>
      <c r="C29" s="1">
        <v>1886.0</v>
      </c>
    </row>
    <row r="30" ht="14.25" customHeight="1">
      <c r="A30" s="1" t="s">
        <v>83</v>
      </c>
      <c r="B30" s="38">
        <v>0.09843476521478221</v>
      </c>
      <c r="C30" s="1">
        <v>113.0</v>
      </c>
    </row>
    <row r="31" ht="14.25" customHeight="1">
      <c r="A31" s="1" t="s">
        <v>74</v>
      </c>
      <c r="B31" s="38">
        <v>0.07835984466978058</v>
      </c>
      <c r="C31" s="1">
        <v>1041.0</v>
      </c>
    </row>
    <row r="32" ht="14.25" customHeight="1">
      <c r="A32" s="1" t="s">
        <v>76</v>
      </c>
      <c r="B32" s="38">
        <v>0.06638326479153882</v>
      </c>
      <c r="C32" s="1">
        <v>852.0</v>
      </c>
    </row>
    <row r="33" ht="14.25" customHeight="1">
      <c r="A33" s="1" t="s">
        <v>78</v>
      </c>
      <c r="B33" s="38">
        <v>0.06491020382274382</v>
      </c>
      <c r="C33" s="1">
        <v>3079.0</v>
      </c>
    </row>
    <row r="34" ht="14.25" customHeight="1"/>
    <row r="35" ht="14.25" customHeight="1"/>
    <row r="36" ht="14.25" customHeight="1"/>
    <row r="37" ht="14.25" customHeight="1">
      <c r="A37" s="1" t="s">
        <v>143</v>
      </c>
      <c r="B37" s="1">
        <f>CORREL(B29:B33,C29:C33)</f>
        <v>-0.7397847965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C19:C23">
    <cfRule type="colorScale" priority="1">
      <colorScale>
        <cfvo type="min"/>
        <cfvo type="percentile" val="50"/>
        <cfvo type="max"/>
        <color rgb="FFE2EFD9"/>
        <color rgb="FFC5E0B3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